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hwan/Documents/Dev/AUBL/main/"/>
    </mc:Choice>
  </mc:AlternateContent>
  <xr:revisionPtr revIDLastSave="0" documentId="8_{10C90871-76F4-5D40-81E8-94593657A792}" xr6:coauthVersionLast="47" xr6:coauthVersionMax="47" xr10:uidLastSave="{00000000-0000-0000-0000-000000000000}"/>
  <bookViews>
    <workbookView xWindow="71320" yWindow="13700" windowWidth="28800" windowHeight="18700" xr2:uid="{AD96AF93-076E-4A69-95FC-587678AF1CE9}"/>
  </bookViews>
  <sheets>
    <sheet name="2025 파워랭킹 최종" sheetId="5" r:id="rId1"/>
  </sheets>
  <definedNames>
    <definedName name="_xlnm._FilterDatabase" localSheetId="0" hidden="1">'2025 파워랭킹 최종'!$A$2:$AA$42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5" l="1"/>
  <c r="W5" i="5" s="1"/>
  <c r="V35" i="5"/>
  <c r="W35" i="5" s="1"/>
  <c r="X35" i="5"/>
  <c r="V37" i="5"/>
  <c r="W37" i="5" s="1"/>
  <c r="X37" i="5"/>
  <c r="V40" i="5"/>
  <c r="W40" i="5" s="1"/>
  <c r="P42" i="5"/>
  <c r="N42" i="5"/>
  <c r="O42" i="5" s="1"/>
  <c r="H42" i="5"/>
  <c r="F42" i="5"/>
  <c r="G42" i="5" s="1"/>
  <c r="X42" i="5"/>
  <c r="V42" i="5"/>
  <c r="W42" i="5" s="1"/>
  <c r="P38" i="5"/>
  <c r="N38" i="5"/>
  <c r="O38" i="5" s="1"/>
  <c r="H38" i="5"/>
  <c r="F38" i="5"/>
  <c r="G38" i="5" s="1"/>
  <c r="X38" i="5"/>
  <c r="V38" i="5"/>
  <c r="W38" i="5" s="1"/>
  <c r="P35" i="5"/>
  <c r="N35" i="5"/>
  <c r="O35" i="5" s="1"/>
  <c r="I35" i="5"/>
  <c r="P34" i="5"/>
  <c r="N34" i="5"/>
  <c r="O34" i="5" s="1"/>
  <c r="H34" i="5"/>
  <c r="F34" i="5"/>
  <c r="G34" i="5" s="1"/>
  <c r="X34" i="5"/>
  <c r="V34" i="5"/>
  <c r="W34" i="5" s="1"/>
  <c r="P37" i="5"/>
  <c r="N37" i="5"/>
  <c r="O37" i="5" s="1"/>
  <c r="H37" i="5"/>
  <c r="F37" i="5"/>
  <c r="G37" i="5" s="1"/>
  <c r="P40" i="5"/>
  <c r="N40" i="5"/>
  <c r="O40" i="5" s="1"/>
  <c r="H40" i="5"/>
  <c r="F40" i="5"/>
  <c r="G40" i="5" s="1"/>
  <c r="X40" i="5"/>
  <c r="P27" i="5"/>
  <c r="N27" i="5"/>
  <c r="O27" i="5" s="1"/>
  <c r="H27" i="5"/>
  <c r="F27" i="5"/>
  <c r="G27" i="5" s="1"/>
  <c r="X27" i="5"/>
  <c r="V27" i="5"/>
  <c r="W27" i="5" s="1"/>
  <c r="P39" i="5"/>
  <c r="N39" i="5"/>
  <c r="O39" i="5" s="1"/>
  <c r="H39" i="5"/>
  <c r="F39" i="5"/>
  <c r="G39" i="5" s="1"/>
  <c r="X39" i="5"/>
  <c r="V39" i="5"/>
  <c r="W39" i="5" s="1"/>
  <c r="P18" i="5"/>
  <c r="N18" i="5"/>
  <c r="O18" i="5" s="1"/>
  <c r="H18" i="5"/>
  <c r="F18" i="5"/>
  <c r="G18" i="5" s="1"/>
  <c r="X18" i="5"/>
  <c r="V18" i="5"/>
  <c r="W18" i="5" s="1"/>
  <c r="P41" i="5"/>
  <c r="N41" i="5"/>
  <c r="O41" i="5" s="1"/>
  <c r="H41" i="5"/>
  <c r="F41" i="5"/>
  <c r="G41" i="5" s="1"/>
  <c r="X41" i="5"/>
  <c r="V41" i="5"/>
  <c r="W41" i="5" s="1"/>
  <c r="P32" i="5"/>
  <c r="N32" i="5"/>
  <c r="O32" i="5" s="1"/>
  <c r="H32" i="5"/>
  <c r="F32" i="5"/>
  <c r="G32" i="5" s="1"/>
  <c r="X32" i="5"/>
  <c r="V32" i="5"/>
  <c r="W32" i="5" s="1"/>
  <c r="P22" i="5"/>
  <c r="N22" i="5"/>
  <c r="O22" i="5" s="1"/>
  <c r="H22" i="5"/>
  <c r="F22" i="5"/>
  <c r="G22" i="5" s="1"/>
  <c r="X22" i="5"/>
  <c r="V22" i="5"/>
  <c r="W22" i="5" s="1"/>
  <c r="P33" i="5"/>
  <c r="N33" i="5"/>
  <c r="O33" i="5" s="1"/>
  <c r="H33" i="5"/>
  <c r="F33" i="5"/>
  <c r="G33" i="5" s="1"/>
  <c r="X33" i="5"/>
  <c r="V33" i="5"/>
  <c r="W33" i="5" s="1"/>
  <c r="P17" i="5"/>
  <c r="N17" i="5"/>
  <c r="O17" i="5" s="1"/>
  <c r="I17" i="5"/>
  <c r="X17" i="5"/>
  <c r="V17" i="5"/>
  <c r="W17" i="5" s="1"/>
  <c r="P14" i="5"/>
  <c r="N14" i="5"/>
  <c r="O14" i="5" s="1"/>
  <c r="H14" i="5"/>
  <c r="F14" i="5"/>
  <c r="G14" i="5" s="1"/>
  <c r="X14" i="5"/>
  <c r="V14" i="5"/>
  <c r="W14" i="5" s="1"/>
  <c r="P3" i="5"/>
  <c r="N3" i="5"/>
  <c r="O3" i="5" s="1"/>
  <c r="H3" i="5"/>
  <c r="F3" i="5"/>
  <c r="G3" i="5" s="1"/>
  <c r="X3" i="5"/>
  <c r="V3" i="5"/>
  <c r="W3" i="5" s="1"/>
  <c r="P29" i="5"/>
  <c r="N29" i="5"/>
  <c r="O29" i="5" s="1"/>
  <c r="H29" i="5"/>
  <c r="F29" i="5"/>
  <c r="G29" i="5" s="1"/>
  <c r="X29" i="5"/>
  <c r="V29" i="5"/>
  <c r="W29" i="5" s="1"/>
  <c r="P21" i="5"/>
  <c r="N21" i="5"/>
  <c r="O21" i="5" s="1"/>
  <c r="H21" i="5"/>
  <c r="F21" i="5"/>
  <c r="G21" i="5" s="1"/>
  <c r="X21" i="5"/>
  <c r="V21" i="5"/>
  <c r="W21" i="5" s="1"/>
  <c r="P36" i="5"/>
  <c r="N36" i="5"/>
  <c r="O36" i="5" s="1"/>
  <c r="H36" i="5"/>
  <c r="F36" i="5"/>
  <c r="G36" i="5" s="1"/>
  <c r="X36" i="5"/>
  <c r="V36" i="5"/>
  <c r="W36" i="5" s="1"/>
  <c r="P26" i="5"/>
  <c r="N26" i="5"/>
  <c r="O26" i="5" s="1"/>
  <c r="H26" i="5"/>
  <c r="F26" i="5"/>
  <c r="G26" i="5" s="1"/>
  <c r="X26" i="5"/>
  <c r="V26" i="5"/>
  <c r="W26" i="5" s="1"/>
  <c r="P28" i="5"/>
  <c r="N28" i="5"/>
  <c r="O28" i="5" s="1"/>
  <c r="H28" i="5"/>
  <c r="F28" i="5"/>
  <c r="G28" i="5" s="1"/>
  <c r="X28" i="5"/>
  <c r="V28" i="5"/>
  <c r="W28" i="5" s="1"/>
  <c r="P31" i="5"/>
  <c r="N31" i="5"/>
  <c r="O31" i="5" s="1"/>
  <c r="H31" i="5"/>
  <c r="F31" i="5"/>
  <c r="G31" i="5" s="1"/>
  <c r="X31" i="5"/>
  <c r="V31" i="5"/>
  <c r="W31" i="5" s="1"/>
  <c r="P25" i="5"/>
  <c r="N25" i="5"/>
  <c r="O25" i="5" s="1"/>
  <c r="H25" i="5"/>
  <c r="F25" i="5"/>
  <c r="G25" i="5" s="1"/>
  <c r="X25" i="5"/>
  <c r="V25" i="5"/>
  <c r="W25" i="5" s="1"/>
  <c r="P30" i="5"/>
  <c r="N30" i="5"/>
  <c r="O30" i="5" s="1"/>
  <c r="H30" i="5"/>
  <c r="F30" i="5"/>
  <c r="G30" i="5" s="1"/>
  <c r="X30" i="5"/>
  <c r="V30" i="5"/>
  <c r="W30" i="5" s="1"/>
  <c r="P24" i="5"/>
  <c r="N24" i="5"/>
  <c r="O24" i="5" s="1"/>
  <c r="H24" i="5"/>
  <c r="F24" i="5"/>
  <c r="G24" i="5" s="1"/>
  <c r="X24" i="5"/>
  <c r="V24" i="5"/>
  <c r="W24" i="5" s="1"/>
  <c r="P15" i="5"/>
  <c r="N15" i="5"/>
  <c r="O15" i="5" s="1"/>
  <c r="H15" i="5"/>
  <c r="F15" i="5"/>
  <c r="G15" i="5" s="1"/>
  <c r="X15" i="5"/>
  <c r="V15" i="5"/>
  <c r="W15" i="5" s="1"/>
  <c r="P23" i="5"/>
  <c r="N23" i="5"/>
  <c r="O23" i="5" s="1"/>
  <c r="H23" i="5"/>
  <c r="F23" i="5"/>
  <c r="G23" i="5" s="1"/>
  <c r="X23" i="5"/>
  <c r="V23" i="5"/>
  <c r="W23" i="5" s="1"/>
  <c r="P13" i="5"/>
  <c r="N13" i="5"/>
  <c r="O13" i="5" s="1"/>
  <c r="H13" i="5"/>
  <c r="F13" i="5"/>
  <c r="G13" i="5" s="1"/>
  <c r="X13" i="5"/>
  <c r="V13" i="5"/>
  <c r="W13" i="5" s="1"/>
  <c r="P20" i="5"/>
  <c r="N20" i="5"/>
  <c r="O20" i="5" s="1"/>
  <c r="H20" i="5"/>
  <c r="F20" i="5"/>
  <c r="G20" i="5" s="1"/>
  <c r="X20" i="5"/>
  <c r="V20" i="5"/>
  <c r="W20" i="5" s="1"/>
  <c r="P19" i="5"/>
  <c r="N19" i="5"/>
  <c r="O19" i="5" s="1"/>
  <c r="H19" i="5"/>
  <c r="F19" i="5"/>
  <c r="G19" i="5" s="1"/>
  <c r="X19" i="5"/>
  <c r="V19" i="5"/>
  <c r="W19" i="5" s="1"/>
  <c r="P4" i="5"/>
  <c r="N4" i="5"/>
  <c r="O4" i="5" s="1"/>
  <c r="H4" i="5"/>
  <c r="F4" i="5"/>
  <c r="G4" i="5" s="1"/>
  <c r="X4" i="5"/>
  <c r="V4" i="5"/>
  <c r="W4" i="5" s="1"/>
  <c r="P16" i="5"/>
  <c r="N16" i="5"/>
  <c r="O16" i="5" s="1"/>
  <c r="H16" i="5"/>
  <c r="F16" i="5"/>
  <c r="G16" i="5" s="1"/>
  <c r="X16" i="5"/>
  <c r="V16" i="5"/>
  <c r="W16" i="5" s="1"/>
  <c r="P6" i="5"/>
  <c r="N6" i="5"/>
  <c r="O6" i="5" s="1"/>
  <c r="H6" i="5"/>
  <c r="F6" i="5"/>
  <c r="G6" i="5" s="1"/>
  <c r="X6" i="5"/>
  <c r="V6" i="5"/>
  <c r="W6" i="5" s="1"/>
  <c r="P10" i="5"/>
  <c r="N10" i="5"/>
  <c r="O10" i="5" s="1"/>
  <c r="H10" i="5"/>
  <c r="F10" i="5"/>
  <c r="G10" i="5" s="1"/>
  <c r="X10" i="5"/>
  <c r="V10" i="5"/>
  <c r="W10" i="5" s="1"/>
  <c r="P11" i="5"/>
  <c r="N11" i="5"/>
  <c r="O11" i="5" s="1"/>
  <c r="H11" i="5"/>
  <c r="F11" i="5"/>
  <c r="G11" i="5" s="1"/>
  <c r="X11" i="5"/>
  <c r="V11" i="5"/>
  <c r="W11" i="5" s="1"/>
  <c r="P12" i="5"/>
  <c r="N12" i="5"/>
  <c r="O12" i="5" s="1"/>
  <c r="H12" i="5"/>
  <c r="F12" i="5"/>
  <c r="G12" i="5" s="1"/>
  <c r="X12" i="5"/>
  <c r="V12" i="5"/>
  <c r="W12" i="5" s="1"/>
  <c r="P9" i="5"/>
  <c r="N9" i="5"/>
  <c r="O9" i="5" s="1"/>
  <c r="H9" i="5"/>
  <c r="F9" i="5"/>
  <c r="G9" i="5" s="1"/>
  <c r="X9" i="5"/>
  <c r="V9" i="5"/>
  <c r="W9" i="5" s="1"/>
  <c r="P8" i="5"/>
  <c r="N8" i="5"/>
  <c r="O8" i="5" s="1"/>
  <c r="H8" i="5"/>
  <c r="F8" i="5"/>
  <c r="G8" i="5" s="1"/>
  <c r="X8" i="5"/>
  <c r="V8" i="5"/>
  <c r="W8" i="5" s="1"/>
  <c r="P7" i="5"/>
  <c r="N7" i="5"/>
  <c r="O7" i="5" s="1"/>
  <c r="H7" i="5"/>
  <c r="F7" i="5"/>
  <c r="G7" i="5" s="1"/>
  <c r="X7" i="5"/>
  <c r="V7" i="5"/>
  <c r="W7" i="5" s="1"/>
  <c r="P5" i="5"/>
  <c r="N5" i="5"/>
  <c r="O5" i="5" s="1"/>
  <c r="H5" i="5"/>
  <c r="F5" i="5"/>
  <c r="G5" i="5" s="1"/>
  <c r="X5" i="5"/>
  <c r="Y22" i="5" l="1"/>
  <c r="Q27" i="5"/>
  <c r="Q39" i="5"/>
  <c r="Q37" i="5"/>
  <c r="I38" i="5"/>
  <c r="Q34" i="5"/>
  <c r="I19" i="5"/>
  <c r="I5" i="5"/>
  <c r="Q9" i="5"/>
  <c r="Q33" i="5"/>
  <c r="I41" i="5"/>
  <c r="Y19" i="5"/>
  <c r="Z19" i="5" s="1"/>
  <c r="Q23" i="5"/>
  <c r="Q36" i="5"/>
  <c r="Q7" i="5"/>
  <c r="Q22" i="5"/>
  <c r="I18" i="5"/>
  <c r="I27" i="5"/>
  <c r="Q14" i="5"/>
  <c r="I11" i="5"/>
  <c r="Q19" i="5"/>
  <c r="I23" i="5"/>
  <c r="Q17" i="5"/>
  <c r="I32" i="5"/>
  <c r="Y39" i="5"/>
  <c r="Q16" i="5"/>
  <c r="I20" i="5"/>
  <c r="Q30" i="5"/>
  <c r="I28" i="5"/>
  <c r="Q29" i="5"/>
  <c r="I10" i="5"/>
  <c r="Q20" i="5"/>
  <c r="I15" i="5"/>
  <c r="Y25" i="5"/>
  <c r="Q28" i="5"/>
  <c r="Q38" i="5"/>
  <c r="I42" i="5"/>
  <c r="I29" i="5"/>
  <c r="Q8" i="5"/>
  <c r="Q31" i="5"/>
  <c r="Q18" i="5"/>
  <c r="I40" i="5"/>
  <c r="Q5" i="5"/>
  <c r="I9" i="5"/>
  <c r="I3" i="5"/>
  <c r="I8" i="5"/>
  <c r="Y27" i="5"/>
  <c r="Y42" i="5"/>
  <c r="Q42" i="5"/>
  <c r="I36" i="5"/>
  <c r="I7" i="5"/>
  <c r="Q10" i="5"/>
  <c r="Y26" i="5"/>
  <c r="I21" i="5"/>
  <c r="Q3" i="5"/>
  <c r="I39" i="5"/>
  <c r="Q40" i="5"/>
  <c r="Q4" i="5"/>
  <c r="I13" i="5"/>
  <c r="Z13" i="5" s="1"/>
  <c r="Q25" i="5"/>
  <c r="I4" i="5"/>
  <c r="Q15" i="5"/>
  <c r="I25" i="5"/>
  <c r="I37" i="5"/>
  <c r="Z37" i="5" s="1"/>
  <c r="Q11" i="5"/>
  <c r="Y5" i="5"/>
  <c r="Q6" i="5"/>
  <c r="Q13" i="5"/>
  <c r="I24" i="5"/>
  <c r="Q21" i="5"/>
  <c r="Y34" i="5"/>
  <c r="I26" i="5"/>
  <c r="Y33" i="5"/>
  <c r="Q32" i="5"/>
  <c r="Q24" i="5"/>
  <c r="I31" i="5"/>
  <c r="Q26" i="5"/>
  <c r="I34" i="5"/>
  <c r="Z34" i="5" s="1"/>
  <c r="I6" i="5"/>
  <c r="Y29" i="5"/>
  <c r="Z29" i="5" s="1"/>
  <c r="I33" i="5"/>
  <c r="I16" i="5"/>
  <c r="I30" i="5"/>
  <c r="Y37" i="5"/>
  <c r="I14" i="5"/>
  <c r="Q41" i="5"/>
  <c r="Q35" i="5"/>
  <c r="Y6" i="5"/>
  <c r="I12" i="5"/>
  <c r="Q12" i="5"/>
  <c r="I22" i="5"/>
  <c r="Y38" i="5"/>
  <c r="Y14" i="5"/>
  <c r="Y9" i="5"/>
  <c r="Z9" i="5" s="1"/>
  <c r="Y7" i="5"/>
  <c r="Y16" i="5"/>
  <c r="Y20" i="5"/>
  <c r="Y18" i="5"/>
  <c r="Y3" i="5"/>
  <c r="Y17" i="5"/>
  <c r="Y35" i="5"/>
  <c r="Y40" i="5"/>
  <c r="Y32" i="5"/>
  <c r="Y41" i="5"/>
  <c r="Y21" i="5"/>
  <c r="Z21" i="5" s="1"/>
  <c r="Y36" i="5"/>
  <c r="Y28" i="5"/>
  <c r="Y31" i="5"/>
  <c r="Y30" i="5"/>
  <c r="Y24" i="5"/>
  <c r="Z24" i="5" s="1"/>
  <c r="Y15" i="5"/>
  <c r="Y23" i="5"/>
  <c r="Z23" i="5" s="1"/>
  <c r="Y13" i="5"/>
  <c r="Y4" i="5"/>
  <c r="Y10" i="5"/>
  <c r="Y11" i="5"/>
  <c r="Y12" i="5"/>
  <c r="Y8" i="5"/>
  <c r="Z22" i="5" l="1"/>
  <c r="Z40" i="5"/>
  <c r="Z31" i="5"/>
  <c r="Z20" i="5"/>
  <c r="Z5" i="5"/>
  <c r="Z25" i="5"/>
  <c r="Z27" i="5"/>
  <c r="Z17" i="5"/>
  <c r="Z4" i="5"/>
  <c r="Z18" i="5"/>
  <c r="Z39" i="5"/>
  <c r="Z41" i="5"/>
  <c r="Z16" i="5"/>
  <c r="Z14" i="5"/>
  <c r="Z28" i="5"/>
  <c r="Z33" i="5"/>
  <c r="Z32" i="5"/>
  <c r="Z36" i="5"/>
  <c r="Z6" i="5"/>
  <c r="Z8" i="5"/>
  <c r="Z35" i="5"/>
  <c r="Z15" i="5"/>
  <c r="Z12" i="5"/>
  <c r="Z11" i="5"/>
  <c r="Z26" i="5"/>
  <c r="Z42" i="5"/>
  <c r="Z38" i="5"/>
  <c r="Z7" i="5"/>
  <c r="Z30" i="5"/>
  <c r="Z10" i="5"/>
  <c r="Z3" i="5"/>
  <c r="AA37" i="5" l="1"/>
  <c r="AA13" i="5"/>
  <c r="AA32" i="5"/>
  <c r="AA23" i="5"/>
  <c r="AA25" i="5"/>
  <c r="AA11" i="5"/>
  <c r="AA30" i="5"/>
  <c r="AA17" i="5"/>
  <c r="AA38" i="5"/>
  <c r="AA42" i="5"/>
  <c r="AA12" i="5"/>
  <c r="AA26" i="5"/>
  <c r="AA21" i="5"/>
  <c r="AA6" i="5"/>
  <c r="AA18" i="5"/>
  <c r="AA31" i="5"/>
  <c r="AA35" i="5"/>
  <c r="AA33" i="5"/>
  <c r="AA29" i="5"/>
  <c r="AA41" i="5"/>
  <c r="AA22" i="5"/>
  <c r="AA4" i="5"/>
  <c r="AA27" i="5"/>
  <c r="AA9" i="5"/>
  <c r="AA34" i="5"/>
  <c r="AA28" i="5"/>
  <c r="AA36" i="5"/>
  <c r="AA14" i="5"/>
  <c r="AA8" i="5"/>
  <c r="AA15" i="5"/>
  <c r="AA39" i="5"/>
  <c r="AA20" i="5"/>
  <c r="AA19" i="5"/>
  <c r="AA7" i="5"/>
  <c r="AA24" i="5"/>
  <c r="AA40" i="5"/>
  <c r="AA16" i="5"/>
  <c r="AA10" i="5"/>
  <c r="AA3" i="5"/>
  <c r="AA5" i="5"/>
</calcChain>
</file>

<file path=xl/sharedStrings.xml><?xml version="1.0" encoding="utf-8"?>
<sst xmlns="http://schemas.openxmlformats.org/spreadsheetml/2006/main" count="209" uniqueCount="65">
  <si>
    <t>비고</t>
    <phoneticPr fontId="1" type="noConversion"/>
  </si>
  <si>
    <t>승</t>
    <phoneticPr fontId="1" type="noConversion"/>
  </si>
  <si>
    <t>무</t>
    <phoneticPr fontId="1" type="noConversion"/>
  </si>
  <si>
    <t>패</t>
    <phoneticPr fontId="1" type="noConversion"/>
  </si>
  <si>
    <t>본선성적</t>
    <phoneticPr fontId="1" type="noConversion"/>
  </si>
  <si>
    <t>승점</t>
    <phoneticPr fontId="1" type="noConversion"/>
  </si>
  <si>
    <t>승점환산</t>
    <phoneticPr fontId="1" type="noConversion"/>
  </si>
  <si>
    <t>합계</t>
    <phoneticPr fontId="1" type="noConversion"/>
  </si>
  <si>
    <t>총점</t>
    <phoneticPr fontId="1" type="noConversion"/>
  </si>
  <si>
    <t>순위</t>
    <phoneticPr fontId="1" type="noConversion"/>
  </si>
  <si>
    <t>한양대</t>
    <phoneticPr fontId="1" type="noConversion"/>
  </si>
  <si>
    <t>-</t>
    <phoneticPr fontId="1" type="noConversion"/>
  </si>
  <si>
    <t>우승</t>
    <phoneticPr fontId="1" type="noConversion"/>
  </si>
  <si>
    <t>경기대</t>
    <phoneticPr fontId="1" type="noConversion"/>
  </si>
  <si>
    <t>준우승</t>
    <phoneticPr fontId="1" type="noConversion"/>
  </si>
  <si>
    <t>16강</t>
    <phoneticPr fontId="1" type="noConversion"/>
  </si>
  <si>
    <t>경희국제</t>
    <phoneticPr fontId="1" type="noConversion"/>
  </si>
  <si>
    <t>8강</t>
    <phoneticPr fontId="1" type="noConversion"/>
  </si>
  <si>
    <t>서울과기</t>
    <phoneticPr fontId="1" type="noConversion"/>
  </si>
  <si>
    <t>버금우승</t>
    <phoneticPr fontId="1" type="noConversion"/>
  </si>
  <si>
    <t>중앙대</t>
    <phoneticPr fontId="1" type="noConversion"/>
  </si>
  <si>
    <t>연세대</t>
    <phoneticPr fontId="1" type="noConversion"/>
  </si>
  <si>
    <t>외대서울</t>
    <phoneticPr fontId="1" type="noConversion"/>
  </si>
  <si>
    <t>숭실대</t>
    <phoneticPr fontId="1" type="noConversion"/>
  </si>
  <si>
    <t>건국서울</t>
    <phoneticPr fontId="1" type="noConversion"/>
  </si>
  <si>
    <t>4강</t>
    <phoneticPr fontId="1" type="noConversion"/>
  </si>
  <si>
    <t>아주대</t>
    <phoneticPr fontId="1" type="noConversion"/>
  </si>
  <si>
    <t>한성대</t>
    <phoneticPr fontId="1" type="noConversion"/>
  </si>
  <si>
    <t>단국천안</t>
    <phoneticPr fontId="1" type="noConversion"/>
  </si>
  <si>
    <t>가천대</t>
    <phoneticPr fontId="1" type="noConversion"/>
  </si>
  <si>
    <t>국민대</t>
    <phoneticPr fontId="1" type="noConversion"/>
  </si>
  <si>
    <t>건국글로</t>
    <phoneticPr fontId="1" type="noConversion"/>
  </si>
  <si>
    <t>고려대</t>
    <phoneticPr fontId="1" type="noConversion"/>
  </si>
  <si>
    <t>버금준우승</t>
    <phoneticPr fontId="1" type="noConversion"/>
  </si>
  <si>
    <t>시립대</t>
    <phoneticPr fontId="1" type="noConversion"/>
  </si>
  <si>
    <t>한체대</t>
    <phoneticPr fontId="1" type="noConversion"/>
  </si>
  <si>
    <t>세종대</t>
    <phoneticPr fontId="1" type="noConversion"/>
  </si>
  <si>
    <t>상명대</t>
    <phoneticPr fontId="1" type="noConversion"/>
  </si>
  <si>
    <t>경희서울</t>
    <phoneticPr fontId="1" type="noConversion"/>
  </si>
  <si>
    <t>공학대</t>
    <phoneticPr fontId="1" type="noConversion"/>
  </si>
  <si>
    <t>교통대</t>
    <phoneticPr fontId="1" type="noConversion"/>
  </si>
  <si>
    <t>인하대</t>
    <phoneticPr fontId="1" type="noConversion"/>
  </si>
  <si>
    <t>인천대</t>
    <phoneticPr fontId="1" type="noConversion"/>
  </si>
  <si>
    <t>백석대</t>
    <phoneticPr fontId="1" type="noConversion"/>
  </si>
  <si>
    <t>홍익대</t>
    <phoneticPr fontId="1" type="noConversion"/>
  </si>
  <si>
    <t>외대글로</t>
    <phoneticPr fontId="1" type="noConversion"/>
  </si>
  <si>
    <t>항공대</t>
    <phoneticPr fontId="1" type="noConversion"/>
  </si>
  <si>
    <t>서강대</t>
    <phoneticPr fontId="1" type="noConversion"/>
  </si>
  <si>
    <t>가톨릭</t>
    <phoneticPr fontId="1" type="noConversion"/>
  </si>
  <si>
    <t>동국대</t>
    <phoneticPr fontId="1" type="noConversion"/>
  </si>
  <si>
    <t>한신대</t>
    <phoneticPr fontId="1" type="noConversion"/>
  </si>
  <si>
    <t>명지서울</t>
    <phoneticPr fontId="1" type="noConversion"/>
  </si>
  <si>
    <t>에리카</t>
    <phoneticPr fontId="1" type="noConversion"/>
  </si>
  <si>
    <t>광운대</t>
    <phoneticPr fontId="1" type="noConversion"/>
  </si>
  <si>
    <t>23년도</t>
    <phoneticPr fontId="1" type="noConversion"/>
  </si>
  <si>
    <t>단국죽전</t>
    <phoneticPr fontId="1" type="noConversion"/>
  </si>
  <si>
    <t>서경대</t>
    <phoneticPr fontId="1" type="noConversion"/>
  </si>
  <si>
    <t>24년도</t>
    <phoneticPr fontId="1" type="noConversion"/>
  </si>
  <si>
    <t>강남대</t>
    <phoneticPr fontId="1" type="noConversion"/>
  </si>
  <si>
    <t>2025시즌 1시드 커트라인</t>
    <phoneticPr fontId="1" type="noConversion"/>
  </si>
  <si>
    <t>2025시즌 2시드 커트라인</t>
    <phoneticPr fontId="1" type="noConversion"/>
  </si>
  <si>
    <t>2025시즌 3시드 커트라인</t>
    <phoneticPr fontId="1" type="noConversion"/>
  </si>
  <si>
    <t>2025시즌 4시드 커트라인</t>
    <phoneticPr fontId="1" type="noConversion"/>
  </si>
  <si>
    <t>성균관대</t>
    <phoneticPr fontId="1" type="noConversion"/>
  </si>
  <si>
    <t>25년도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</si>
</sst>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 diagonalDown="1">
      <left style="medium">
        <color auto="1"/>
      </left>
      <right style="thick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 style="thick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4" xfId="0" applyBorder="1" applyAlignment="1">
      <alignment horizontal="right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D791-A7D0-42E0-B21F-85C483FC4FF8}">
  <dimension ref="A1:AE42"/>
  <sheetViews>
    <sheetView tabSelected="1" zoomScale="85" zoomScaleNormal="85" workbookViewId="0">
      <selection activeCell="Y7" sqref="Y7"/>
    </sheetView>
  </sheetViews>
  <sheetFormatPr baseColWidth="10" defaultColWidth="8.83203125" defaultRowHeight="17"/>
  <sheetData>
    <row r="1" spans="1:31">
      <c r="A1" s="32"/>
      <c r="B1" s="39" t="s">
        <v>54</v>
      </c>
      <c r="C1" s="40"/>
      <c r="D1" s="40"/>
      <c r="E1" s="40"/>
      <c r="F1" s="40"/>
      <c r="G1" s="40"/>
      <c r="H1" s="40"/>
      <c r="I1" s="41"/>
      <c r="J1" s="45" t="s">
        <v>57</v>
      </c>
      <c r="K1" s="46"/>
      <c r="L1" s="46"/>
      <c r="M1" s="46"/>
      <c r="N1" s="46"/>
      <c r="O1" s="46"/>
      <c r="P1" s="46"/>
      <c r="Q1" s="47"/>
      <c r="R1" s="42" t="s">
        <v>64</v>
      </c>
      <c r="S1" s="43"/>
      <c r="T1" s="43"/>
      <c r="U1" s="43"/>
      <c r="V1" s="43"/>
      <c r="W1" s="43"/>
      <c r="X1" s="43"/>
      <c r="Y1" s="44"/>
      <c r="Z1" s="9" t="s">
        <v>0</v>
      </c>
      <c r="AA1" s="10"/>
    </row>
    <row r="2" spans="1:31" ht="18" thickBot="1">
      <c r="A2" s="33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2" t="s">
        <v>4</v>
      </c>
      <c r="I2" s="1" t="s">
        <v>7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4</v>
      </c>
      <c r="Q2" s="1" t="s">
        <v>7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4</v>
      </c>
      <c r="Y2" s="1" t="s">
        <v>7</v>
      </c>
      <c r="Z2" s="22" t="s">
        <v>8</v>
      </c>
      <c r="AA2" s="23" t="s">
        <v>9</v>
      </c>
    </row>
    <row r="3" spans="1:31" ht="19">
      <c r="A3" s="35" t="s">
        <v>36</v>
      </c>
      <c r="B3" s="2">
        <v>3</v>
      </c>
      <c r="C3" s="3">
        <v>0</v>
      </c>
      <c r="D3" s="3">
        <v>5</v>
      </c>
      <c r="E3" s="4" t="s">
        <v>11</v>
      </c>
      <c r="F3" s="2">
        <f t="shared" ref="F3:F16" si="0">SUM((B3*3),(C3*1))</f>
        <v>9</v>
      </c>
      <c r="G3" s="5">
        <f t="shared" ref="G3:G16" si="1">IF(SUM(B3:D3)=6,F3*(8/6),IF(SUM(B3:D3)=9,F3*(8/9),F3))</f>
        <v>9</v>
      </c>
      <c r="H3" s="3">
        <f t="shared" ref="H3:H16" si="2">IF(E3="우승",25,IF(E3="준우승",20,IF(E3="4강",15,IF(E3="8강",10,IF(E3="16강",5,IF(E3="버금우승",10,IF(E3="버금준우승",5,0)))))))</f>
        <v>0</v>
      </c>
      <c r="I3" s="8">
        <f t="shared" ref="I3:I42" si="3">SUM(G3:H3)</f>
        <v>9</v>
      </c>
      <c r="J3" s="2">
        <v>4</v>
      </c>
      <c r="K3" s="3">
        <v>2</v>
      </c>
      <c r="L3" s="3">
        <v>2</v>
      </c>
      <c r="M3" s="4" t="s">
        <v>11</v>
      </c>
      <c r="N3" s="2">
        <f t="shared" ref="N3:N42" si="4">SUM((J3*3),(K3*1))</f>
        <v>14</v>
      </c>
      <c r="O3" s="5">
        <f t="shared" ref="O3:O42" si="5">IF(SUM(J3:L3)=6,N3*(8/6),IF(SUM(J3:L3)=9,N3*(8/9),N3))</f>
        <v>14</v>
      </c>
      <c r="P3" s="7">
        <f t="shared" ref="P3:P42" si="6">IF(M3="우승",25,IF(M3="준우승",20,IF(M3="4강",15,IF(M3="8강",10,IF(M3="16강",5,IF(M3="버금우승",10,IF(M3="버금준우승",5,0)))))))</f>
        <v>0</v>
      </c>
      <c r="Q3" s="8">
        <f t="shared" ref="Q3:Q42" si="7">SUM(O3:P3)</f>
        <v>14</v>
      </c>
      <c r="R3" s="2">
        <v>7</v>
      </c>
      <c r="S3" s="3">
        <v>1</v>
      </c>
      <c r="T3" s="3">
        <v>0</v>
      </c>
      <c r="U3" s="4" t="s">
        <v>12</v>
      </c>
      <c r="V3" s="2">
        <f t="shared" ref="V3:V42" si="8">SUM((R3*3),(S3*1))</f>
        <v>22</v>
      </c>
      <c r="W3" s="5">
        <f t="shared" ref="W3:W42" si="9">IF(SUM(R3:T3)=6,V3*(8/6),IF(SUM(R3:T3)=9,V3*(8/9),V3))</f>
        <v>22</v>
      </c>
      <c r="X3" s="3">
        <f t="shared" ref="X3:X42" si="10">IF(U3="우승",25,IF(U3="준우승",20,IF(U3="4강",15,IF(U3="8강",10,IF(U3="16강",5,IF(U3="버금우승",10,IF(U3="버금준우승",5,0)))))))</f>
        <v>25</v>
      </c>
      <c r="Y3" s="19">
        <f t="shared" ref="Y3:Y42" si="11">SUM(W3:X3)</f>
        <v>47</v>
      </c>
      <c r="Z3" s="24">
        <f t="shared" ref="Z3:Z42" si="12">(I3*0.3)+(Q3*0.6)+Y3</f>
        <v>58.1</v>
      </c>
      <c r="AA3" s="25">
        <f t="shared" ref="AA3:AA42" si="13">RANK(Z3,$Z$3:$Z$42,0)</f>
        <v>1</v>
      </c>
      <c r="AB3" s="35" t="s">
        <v>36</v>
      </c>
    </row>
    <row r="4" spans="1:31" ht="19">
      <c r="A4" s="35" t="s">
        <v>21</v>
      </c>
      <c r="B4" s="2">
        <v>6</v>
      </c>
      <c r="C4" s="3">
        <v>0</v>
      </c>
      <c r="D4" s="3">
        <v>2</v>
      </c>
      <c r="E4" s="4" t="s">
        <v>17</v>
      </c>
      <c r="F4" s="2">
        <f t="shared" si="0"/>
        <v>18</v>
      </c>
      <c r="G4" s="5">
        <f t="shared" si="1"/>
        <v>18</v>
      </c>
      <c r="H4" s="3">
        <f t="shared" si="2"/>
        <v>10</v>
      </c>
      <c r="I4" s="8">
        <f t="shared" si="3"/>
        <v>28</v>
      </c>
      <c r="J4" s="2">
        <v>5</v>
      </c>
      <c r="K4" s="3">
        <v>1</v>
      </c>
      <c r="L4" s="3">
        <v>2</v>
      </c>
      <c r="M4" s="4" t="s">
        <v>15</v>
      </c>
      <c r="N4" s="2">
        <f t="shared" si="4"/>
        <v>16</v>
      </c>
      <c r="O4" s="5">
        <f t="shared" si="5"/>
        <v>16</v>
      </c>
      <c r="P4" s="3">
        <f t="shared" si="6"/>
        <v>5</v>
      </c>
      <c r="Q4" s="8">
        <f t="shared" si="7"/>
        <v>21</v>
      </c>
      <c r="R4" s="2">
        <v>7</v>
      </c>
      <c r="S4" s="3">
        <v>0</v>
      </c>
      <c r="T4" s="3">
        <v>1</v>
      </c>
      <c r="U4" s="4" t="s">
        <v>25</v>
      </c>
      <c r="V4" s="2">
        <f t="shared" si="8"/>
        <v>21</v>
      </c>
      <c r="W4" s="5">
        <f t="shared" si="9"/>
        <v>21</v>
      </c>
      <c r="X4" s="3">
        <f t="shared" si="10"/>
        <v>15</v>
      </c>
      <c r="Y4" s="19">
        <f t="shared" si="11"/>
        <v>36</v>
      </c>
      <c r="Z4" s="26">
        <f t="shared" si="12"/>
        <v>57</v>
      </c>
      <c r="AA4" s="27">
        <f t="shared" si="13"/>
        <v>2</v>
      </c>
      <c r="AB4" s="35" t="s">
        <v>21</v>
      </c>
    </row>
    <row r="5" spans="1:31" ht="19">
      <c r="A5" s="35" t="s">
        <v>10</v>
      </c>
      <c r="B5" s="34">
        <v>8</v>
      </c>
      <c r="C5" s="5">
        <v>0</v>
      </c>
      <c r="D5" s="5">
        <v>0</v>
      </c>
      <c r="E5" s="6" t="s">
        <v>12</v>
      </c>
      <c r="F5" s="34">
        <f t="shared" si="0"/>
        <v>24</v>
      </c>
      <c r="G5" s="5">
        <f t="shared" si="1"/>
        <v>24</v>
      </c>
      <c r="H5" s="5">
        <f t="shared" si="2"/>
        <v>25</v>
      </c>
      <c r="I5" s="8">
        <f t="shared" si="3"/>
        <v>49</v>
      </c>
      <c r="J5" s="34">
        <v>8</v>
      </c>
      <c r="K5" s="5">
        <v>0</v>
      </c>
      <c r="L5" s="5">
        <v>0</v>
      </c>
      <c r="M5" s="6" t="s">
        <v>15</v>
      </c>
      <c r="N5" s="34">
        <f t="shared" si="4"/>
        <v>24</v>
      </c>
      <c r="O5" s="5">
        <f t="shared" si="5"/>
        <v>24</v>
      </c>
      <c r="P5" s="5">
        <f t="shared" si="6"/>
        <v>5</v>
      </c>
      <c r="Q5" s="8">
        <f t="shared" si="7"/>
        <v>29</v>
      </c>
      <c r="R5" s="34">
        <v>6</v>
      </c>
      <c r="S5" s="5">
        <v>0</v>
      </c>
      <c r="T5" s="5">
        <v>2</v>
      </c>
      <c r="U5" s="6" t="s">
        <v>15</v>
      </c>
      <c r="V5" s="34">
        <f t="shared" si="8"/>
        <v>18</v>
      </c>
      <c r="W5" s="5">
        <f t="shared" si="9"/>
        <v>18</v>
      </c>
      <c r="X5" s="5">
        <f t="shared" si="10"/>
        <v>5</v>
      </c>
      <c r="Y5" s="19">
        <f t="shared" si="11"/>
        <v>23</v>
      </c>
      <c r="Z5" s="26">
        <f t="shared" si="12"/>
        <v>55.099999999999994</v>
      </c>
      <c r="AA5" s="27">
        <f t="shared" si="13"/>
        <v>3</v>
      </c>
      <c r="AB5" s="35" t="s">
        <v>10</v>
      </c>
    </row>
    <row r="6" spans="1:31" ht="19">
      <c r="A6" s="35" t="s">
        <v>16</v>
      </c>
      <c r="B6" s="34">
        <v>4</v>
      </c>
      <c r="C6" s="5">
        <v>0</v>
      </c>
      <c r="D6" s="5">
        <v>2</v>
      </c>
      <c r="E6" s="6" t="s">
        <v>17</v>
      </c>
      <c r="F6" s="34">
        <f t="shared" si="0"/>
        <v>12</v>
      </c>
      <c r="G6" s="5">
        <f t="shared" si="1"/>
        <v>16</v>
      </c>
      <c r="H6" s="5">
        <f t="shared" si="2"/>
        <v>10</v>
      </c>
      <c r="I6" s="8">
        <f t="shared" si="3"/>
        <v>26</v>
      </c>
      <c r="J6" s="34">
        <v>6</v>
      </c>
      <c r="K6" s="5">
        <v>0</v>
      </c>
      <c r="L6" s="5">
        <v>2</v>
      </c>
      <c r="M6" s="6" t="s">
        <v>15</v>
      </c>
      <c r="N6" s="34">
        <f t="shared" si="4"/>
        <v>18</v>
      </c>
      <c r="O6" s="5">
        <f t="shared" si="5"/>
        <v>18</v>
      </c>
      <c r="P6" s="5">
        <f t="shared" si="6"/>
        <v>5</v>
      </c>
      <c r="Q6" s="8">
        <f t="shared" si="7"/>
        <v>23</v>
      </c>
      <c r="R6" s="34">
        <v>6</v>
      </c>
      <c r="S6" s="5">
        <v>0</v>
      </c>
      <c r="T6" s="5">
        <v>2</v>
      </c>
      <c r="U6" s="6" t="s">
        <v>25</v>
      </c>
      <c r="V6" s="34">
        <f t="shared" si="8"/>
        <v>18</v>
      </c>
      <c r="W6" s="5">
        <f t="shared" si="9"/>
        <v>18</v>
      </c>
      <c r="X6" s="5">
        <f t="shared" si="10"/>
        <v>15</v>
      </c>
      <c r="Y6" s="19">
        <f t="shared" si="11"/>
        <v>33</v>
      </c>
      <c r="Z6" s="26">
        <f t="shared" si="12"/>
        <v>54.599999999999994</v>
      </c>
      <c r="AA6" s="27">
        <f t="shared" si="13"/>
        <v>4</v>
      </c>
      <c r="AB6" s="35" t="s">
        <v>16</v>
      </c>
    </row>
    <row r="7" spans="1:31" ht="19">
      <c r="A7" s="35" t="s">
        <v>38</v>
      </c>
      <c r="B7" s="34">
        <v>6</v>
      </c>
      <c r="C7" s="5">
        <v>0</v>
      </c>
      <c r="D7" s="5">
        <v>2</v>
      </c>
      <c r="E7" s="6" t="s">
        <v>25</v>
      </c>
      <c r="F7" s="34">
        <f t="shared" si="0"/>
        <v>18</v>
      </c>
      <c r="G7" s="5">
        <f t="shared" si="1"/>
        <v>18</v>
      </c>
      <c r="H7" s="5">
        <f t="shared" si="2"/>
        <v>15</v>
      </c>
      <c r="I7" s="8">
        <f t="shared" si="3"/>
        <v>33</v>
      </c>
      <c r="J7" s="34">
        <v>7</v>
      </c>
      <c r="K7" s="5">
        <v>0</v>
      </c>
      <c r="L7" s="5">
        <v>1</v>
      </c>
      <c r="M7" s="6" t="s">
        <v>25</v>
      </c>
      <c r="N7" s="34">
        <f t="shared" si="4"/>
        <v>21</v>
      </c>
      <c r="O7" s="5">
        <f t="shared" si="5"/>
        <v>21</v>
      </c>
      <c r="P7" s="5">
        <f t="shared" si="6"/>
        <v>15</v>
      </c>
      <c r="Q7" s="8">
        <f t="shared" si="7"/>
        <v>36</v>
      </c>
      <c r="R7" s="34">
        <v>4</v>
      </c>
      <c r="S7" s="5">
        <v>1</v>
      </c>
      <c r="T7" s="5">
        <v>3</v>
      </c>
      <c r="U7" s="6" t="s">
        <v>19</v>
      </c>
      <c r="V7" s="34">
        <f t="shared" si="8"/>
        <v>13</v>
      </c>
      <c r="W7" s="5">
        <f t="shared" si="9"/>
        <v>13</v>
      </c>
      <c r="X7" s="5">
        <f t="shared" si="10"/>
        <v>10</v>
      </c>
      <c r="Y7" s="19">
        <f t="shared" si="11"/>
        <v>23</v>
      </c>
      <c r="Z7" s="26">
        <f t="shared" si="12"/>
        <v>54.5</v>
      </c>
      <c r="AA7" s="27">
        <f t="shared" si="13"/>
        <v>5</v>
      </c>
      <c r="AB7" s="35" t="s">
        <v>38</v>
      </c>
    </row>
    <row r="8" spans="1:31" ht="19">
      <c r="A8" s="35" t="s">
        <v>22</v>
      </c>
      <c r="B8" s="2">
        <v>6</v>
      </c>
      <c r="C8" s="3">
        <v>1</v>
      </c>
      <c r="D8" s="3">
        <v>1</v>
      </c>
      <c r="E8" s="4" t="s">
        <v>25</v>
      </c>
      <c r="F8" s="2">
        <f t="shared" si="0"/>
        <v>19</v>
      </c>
      <c r="G8" s="5">
        <f t="shared" si="1"/>
        <v>19</v>
      </c>
      <c r="H8" s="3">
        <f t="shared" si="2"/>
        <v>15</v>
      </c>
      <c r="I8" s="8">
        <f t="shared" si="3"/>
        <v>34</v>
      </c>
      <c r="J8" s="2">
        <v>6</v>
      </c>
      <c r="K8" s="3">
        <v>0</v>
      </c>
      <c r="L8" s="3">
        <v>2</v>
      </c>
      <c r="M8" s="4" t="s">
        <v>17</v>
      </c>
      <c r="N8" s="2">
        <f t="shared" si="4"/>
        <v>18</v>
      </c>
      <c r="O8" s="5">
        <f t="shared" si="5"/>
        <v>18</v>
      </c>
      <c r="P8" s="3">
        <f t="shared" si="6"/>
        <v>10</v>
      </c>
      <c r="Q8" s="8">
        <f t="shared" si="7"/>
        <v>28</v>
      </c>
      <c r="R8" s="2">
        <v>5</v>
      </c>
      <c r="S8" s="3">
        <v>0</v>
      </c>
      <c r="T8" s="3">
        <v>3</v>
      </c>
      <c r="U8" s="4" t="s">
        <v>17</v>
      </c>
      <c r="V8" s="2">
        <f t="shared" si="8"/>
        <v>15</v>
      </c>
      <c r="W8" s="5">
        <f t="shared" si="9"/>
        <v>15</v>
      </c>
      <c r="X8" s="3">
        <f t="shared" si="10"/>
        <v>10</v>
      </c>
      <c r="Y8" s="19">
        <f t="shared" si="11"/>
        <v>25</v>
      </c>
      <c r="Z8" s="26">
        <f t="shared" si="12"/>
        <v>52</v>
      </c>
      <c r="AA8" s="27">
        <f t="shared" si="13"/>
        <v>6</v>
      </c>
      <c r="AB8" s="35" t="s">
        <v>22</v>
      </c>
    </row>
    <row r="9" spans="1:31" ht="19">
      <c r="A9" s="35" t="s">
        <v>44</v>
      </c>
      <c r="B9" s="34">
        <v>4</v>
      </c>
      <c r="C9" s="5">
        <v>0</v>
      </c>
      <c r="D9" s="5">
        <v>4</v>
      </c>
      <c r="E9" s="6" t="s">
        <v>15</v>
      </c>
      <c r="F9" s="34">
        <f t="shared" si="0"/>
        <v>12</v>
      </c>
      <c r="G9" s="5">
        <f t="shared" si="1"/>
        <v>12</v>
      </c>
      <c r="H9" s="5">
        <f t="shared" si="2"/>
        <v>5</v>
      </c>
      <c r="I9" s="8">
        <f t="shared" si="3"/>
        <v>17</v>
      </c>
      <c r="J9" s="34">
        <v>6</v>
      </c>
      <c r="K9" s="5">
        <v>1</v>
      </c>
      <c r="L9" s="5">
        <v>1</v>
      </c>
      <c r="M9" s="6" t="s">
        <v>12</v>
      </c>
      <c r="N9" s="34">
        <f t="shared" si="4"/>
        <v>19</v>
      </c>
      <c r="O9" s="5">
        <f t="shared" si="5"/>
        <v>19</v>
      </c>
      <c r="P9" s="5">
        <f t="shared" si="6"/>
        <v>25</v>
      </c>
      <c r="Q9" s="8">
        <f t="shared" si="7"/>
        <v>44</v>
      </c>
      <c r="R9" s="34">
        <v>5</v>
      </c>
      <c r="S9" s="5">
        <v>0</v>
      </c>
      <c r="T9" s="5">
        <v>3</v>
      </c>
      <c r="U9" s="6" t="s">
        <v>15</v>
      </c>
      <c r="V9" s="34">
        <f t="shared" si="8"/>
        <v>15</v>
      </c>
      <c r="W9" s="5">
        <f t="shared" si="9"/>
        <v>15</v>
      </c>
      <c r="X9" s="5">
        <f t="shared" si="10"/>
        <v>5</v>
      </c>
      <c r="Y9" s="19">
        <f t="shared" si="11"/>
        <v>20</v>
      </c>
      <c r="Z9" s="26">
        <f t="shared" si="12"/>
        <v>51.5</v>
      </c>
      <c r="AA9" s="27">
        <f t="shared" si="13"/>
        <v>7</v>
      </c>
      <c r="AB9" s="35" t="s">
        <v>44</v>
      </c>
    </row>
    <row r="10" spans="1:31" ht="20" thickBot="1">
      <c r="A10" s="35" t="s">
        <v>23</v>
      </c>
      <c r="B10" s="12">
        <v>7</v>
      </c>
      <c r="C10" s="1">
        <v>0</v>
      </c>
      <c r="D10" s="1">
        <v>1</v>
      </c>
      <c r="E10" s="13" t="s">
        <v>14</v>
      </c>
      <c r="F10" s="12">
        <f t="shared" si="0"/>
        <v>21</v>
      </c>
      <c r="G10" s="14">
        <f t="shared" si="1"/>
        <v>21</v>
      </c>
      <c r="H10" s="1">
        <f t="shared" si="2"/>
        <v>20</v>
      </c>
      <c r="I10" s="15">
        <f t="shared" si="3"/>
        <v>41</v>
      </c>
      <c r="J10" s="12">
        <v>5</v>
      </c>
      <c r="K10" s="1">
        <v>2</v>
      </c>
      <c r="L10" s="1">
        <v>1</v>
      </c>
      <c r="M10" s="13" t="s">
        <v>15</v>
      </c>
      <c r="N10" s="12">
        <f t="shared" si="4"/>
        <v>17</v>
      </c>
      <c r="O10" s="14">
        <f t="shared" si="5"/>
        <v>17</v>
      </c>
      <c r="P10" s="1">
        <f t="shared" si="6"/>
        <v>5</v>
      </c>
      <c r="Q10" s="15">
        <f t="shared" si="7"/>
        <v>22</v>
      </c>
      <c r="R10" s="12">
        <v>6</v>
      </c>
      <c r="S10" s="1">
        <v>0</v>
      </c>
      <c r="T10" s="1">
        <v>2</v>
      </c>
      <c r="U10" s="13" t="s">
        <v>15</v>
      </c>
      <c r="V10" s="12">
        <f t="shared" si="8"/>
        <v>18</v>
      </c>
      <c r="W10" s="14">
        <f t="shared" si="9"/>
        <v>18</v>
      </c>
      <c r="X10" s="1">
        <f t="shared" si="10"/>
        <v>5</v>
      </c>
      <c r="Y10" s="20">
        <f t="shared" si="11"/>
        <v>23</v>
      </c>
      <c r="Z10" s="26">
        <f t="shared" si="12"/>
        <v>48.5</v>
      </c>
      <c r="AA10" s="27">
        <f t="shared" si="13"/>
        <v>8</v>
      </c>
      <c r="AB10" s="35" t="s">
        <v>23</v>
      </c>
      <c r="AC10" s="37" t="s">
        <v>59</v>
      </c>
      <c r="AD10" s="37"/>
      <c r="AE10" s="37"/>
    </row>
    <row r="11" spans="1:31" ht="19">
      <c r="A11" s="35" t="s">
        <v>20</v>
      </c>
      <c r="B11" s="34">
        <v>8</v>
      </c>
      <c r="C11" s="5">
        <v>0</v>
      </c>
      <c r="D11" s="5">
        <v>0</v>
      </c>
      <c r="E11" s="6" t="s">
        <v>15</v>
      </c>
      <c r="F11" s="34">
        <f t="shared" si="0"/>
        <v>24</v>
      </c>
      <c r="G11" s="5">
        <f t="shared" si="1"/>
        <v>24</v>
      </c>
      <c r="H11" s="5">
        <f t="shared" si="2"/>
        <v>5</v>
      </c>
      <c r="I11" s="8">
        <f t="shared" si="3"/>
        <v>29</v>
      </c>
      <c r="J11" s="34">
        <v>5</v>
      </c>
      <c r="K11" s="5">
        <v>1</v>
      </c>
      <c r="L11" s="5">
        <v>2</v>
      </c>
      <c r="M11" s="6" t="s">
        <v>17</v>
      </c>
      <c r="N11" s="34">
        <f t="shared" si="4"/>
        <v>16</v>
      </c>
      <c r="O11" s="5">
        <f t="shared" si="5"/>
        <v>16</v>
      </c>
      <c r="P11" s="5">
        <f t="shared" si="6"/>
        <v>10</v>
      </c>
      <c r="Q11" s="8">
        <f t="shared" si="7"/>
        <v>26</v>
      </c>
      <c r="R11" s="34">
        <v>6</v>
      </c>
      <c r="S11" s="5">
        <v>0</v>
      </c>
      <c r="T11" s="5">
        <v>2</v>
      </c>
      <c r="U11" s="6" t="s">
        <v>15</v>
      </c>
      <c r="V11" s="34">
        <f t="shared" si="8"/>
        <v>18</v>
      </c>
      <c r="W11" s="5">
        <f t="shared" si="9"/>
        <v>18</v>
      </c>
      <c r="X11" s="5">
        <f t="shared" si="10"/>
        <v>5</v>
      </c>
      <c r="Y11" s="19">
        <f t="shared" si="11"/>
        <v>23</v>
      </c>
      <c r="Z11" s="26">
        <f t="shared" si="12"/>
        <v>47.3</v>
      </c>
      <c r="AA11" s="27">
        <f t="shared" si="13"/>
        <v>9</v>
      </c>
      <c r="AB11" s="35" t="s">
        <v>20</v>
      </c>
    </row>
    <row r="12" spans="1:31" ht="19">
      <c r="A12" s="35" t="s">
        <v>32</v>
      </c>
      <c r="B12" s="2">
        <v>6</v>
      </c>
      <c r="C12" s="3">
        <v>0</v>
      </c>
      <c r="D12" s="3">
        <v>2</v>
      </c>
      <c r="E12" s="4" t="s">
        <v>17</v>
      </c>
      <c r="F12" s="2">
        <f t="shared" si="0"/>
        <v>18</v>
      </c>
      <c r="G12" s="5">
        <f t="shared" si="1"/>
        <v>18</v>
      </c>
      <c r="H12" s="3">
        <f t="shared" si="2"/>
        <v>10</v>
      </c>
      <c r="I12" s="8">
        <f t="shared" si="3"/>
        <v>28</v>
      </c>
      <c r="J12" s="2">
        <v>6</v>
      </c>
      <c r="K12" s="3">
        <v>1</v>
      </c>
      <c r="L12" s="3">
        <v>1</v>
      </c>
      <c r="M12" s="4" t="s">
        <v>25</v>
      </c>
      <c r="N12" s="2">
        <f t="shared" si="4"/>
        <v>19</v>
      </c>
      <c r="O12" s="5">
        <f t="shared" si="5"/>
        <v>19</v>
      </c>
      <c r="P12" s="3">
        <f t="shared" si="6"/>
        <v>15</v>
      </c>
      <c r="Q12" s="8">
        <f t="shared" si="7"/>
        <v>34</v>
      </c>
      <c r="R12" s="2">
        <v>4</v>
      </c>
      <c r="S12" s="3">
        <v>1</v>
      </c>
      <c r="T12" s="3">
        <v>3</v>
      </c>
      <c r="U12" s="4" t="s">
        <v>15</v>
      </c>
      <c r="V12" s="2">
        <f t="shared" si="8"/>
        <v>13</v>
      </c>
      <c r="W12" s="5">
        <f t="shared" si="9"/>
        <v>13</v>
      </c>
      <c r="X12" s="3">
        <f t="shared" si="10"/>
        <v>5</v>
      </c>
      <c r="Y12" s="19">
        <f t="shared" si="11"/>
        <v>18</v>
      </c>
      <c r="Z12" s="26">
        <f t="shared" si="12"/>
        <v>46.8</v>
      </c>
      <c r="AA12" s="27">
        <f t="shared" si="13"/>
        <v>10</v>
      </c>
      <c r="AB12" s="35" t="s">
        <v>32</v>
      </c>
    </row>
    <row r="13" spans="1:31" ht="19">
      <c r="A13" s="35" t="s">
        <v>24</v>
      </c>
      <c r="B13" s="2">
        <v>5</v>
      </c>
      <c r="C13" s="3">
        <v>0</v>
      </c>
      <c r="D13" s="3">
        <v>3</v>
      </c>
      <c r="E13" s="4" t="s">
        <v>15</v>
      </c>
      <c r="F13" s="2">
        <f t="shared" si="0"/>
        <v>15</v>
      </c>
      <c r="G13" s="5">
        <f t="shared" si="1"/>
        <v>15</v>
      </c>
      <c r="H13" s="3">
        <f t="shared" si="2"/>
        <v>5</v>
      </c>
      <c r="I13" s="8">
        <f t="shared" si="3"/>
        <v>20</v>
      </c>
      <c r="J13" s="2">
        <v>4</v>
      </c>
      <c r="K13" s="3">
        <v>2</v>
      </c>
      <c r="L13" s="3">
        <v>2</v>
      </c>
      <c r="M13" s="4" t="s">
        <v>15</v>
      </c>
      <c r="N13" s="2">
        <f t="shared" si="4"/>
        <v>14</v>
      </c>
      <c r="O13" s="5">
        <f t="shared" si="5"/>
        <v>14</v>
      </c>
      <c r="P13" s="3">
        <f t="shared" si="6"/>
        <v>5</v>
      </c>
      <c r="Q13" s="8">
        <f t="shared" si="7"/>
        <v>19</v>
      </c>
      <c r="R13" s="2">
        <v>6</v>
      </c>
      <c r="S13" s="3">
        <v>0</v>
      </c>
      <c r="T13" s="3">
        <v>2</v>
      </c>
      <c r="U13" s="4" t="s">
        <v>17</v>
      </c>
      <c r="V13" s="2">
        <f t="shared" si="8"/>
        <v>18</v>
      </c>
      <c r="W13" s="5">
        <f t="shared" si="9"/>
        <v>18</v>
      </c>
      <c r="X13" s="3">
        <f t="shared" si="10"/>
        <v>10</v>
      </c>
      <c r="Y13" s="19">
        <f t="shared" si="11"/>
        <v>28</v>
      </c>
      <c r="Z13" s="26">
        <f t="shared" si="12"/>
        <v>45.4</v>
      </c>
      <c r="AA13" s="27">
        <f t="shared" si="13"/>
        <v>11</v>
      </c>
      <c r="AB13" s="35" t="s">
        <v>24</v>
      </c>
    </row>
    <row r="14" spans="1:31" ht="19">
      <c r="A14" s="35" t="s">
        <v>34</v>
      </c>
      <c r="B14" s="2">
        <v>2</v>
      </c>
      <c r="C14" s="3">
        <v>1</v>
      </c>
      <c r="D14" s="3">
        <v>4</v>
      </c>
      <c r="E14" s="4" t="s">
        <v>11</v>
      </c>
      <c r="F14" s="2">
        <f t="shared" si="0"/>
        <v>7</v>
      </c>
      <c r="G14" s="3">
        <f t="shared" si="1"/>
        <v>7</v>
      </c>
      <c r="H14" s="3">
        <f t="shared" si="2"/>
        <v>0</v>
      </c>
      <c r="I14" s="11">
        <f t="shared" si="3"/>
        <v>7</v>
      </c>
      <c r="J14" s="2">
        <v>4</v>
      </c>
      <c r="K14" s="3">
        <v>0</v>
      </c>
      <c r="L14" s="3">
        <v>4</v>
      </c>
      <c r="M14" s="4" t="s">
        <v>11</v>
      </c>
      <c r="N14" s="2">
        <f t="shared" si="4"/>
        <v>12</v>
      </c>
      <c r="O14" s="3">
        <f t="shared" si="5"/>
        <v>12</v>
      </c>
      <c r="P14" s="3">
        <f t="shared" si="6"/>
        <v>0</v>
      </c>
      <c r="Q14" s="11">
        <f t="shared" si="7"/>
        <v>12</v>
      </c>
      <c r="R14" s="2">
        <v>5</v>
      </c>
      <c r="S14" s="3">
        <v>0</v>
      </c>
      <c r="T14" s="3">
        <v>3</v>
      </c>
      <c r="U14" s="4" t="s">
        <v>14</v>
      </c>
      <c r="V14" s="2">
        <f t="shared" si="8"/>
        <v>15</v>
      </c>
      <c r="W14" s="3">
        <f t="shared" si="9"/>
        <v>15</v>
      </c>
      <c r="X14" s="3">
        <f t="shared" si="10"/>
        <v>20</v>
      </c>
      <c r="Y14" s="21">
        <f t="shared" si="11"/>
        <v>35</v>
      </c>
      <c r="Z14" s="26">
        <f t="shared" si="12"/>
        <v>44.3</v>
      </c>
      <c r="AA14" s="27">
        <f t="shared" si="13"/>
        <v>12</v>
      </c>
      <c r="AB14" s="35" t="s">
        <v>34</v>
      </c>
    </row>
    <row r="15" spans="1:31" ht="19">
      <c r="A15" s="35" t="s">
        <v>13</v>
      </c>
      <c r="B15" s="36">
        <v>3</v>
      </c>
      <c r="C15" s="34">
        <v>0</v>
      </c>
      <c r="D15" s="5">
        <v>5</v>
      </c>
      <c r="E15" s="6" t="s">
        <v>11</v>
      </c>
      <c r="F15" s="34">
        <f t="shared" si="0"/>
        <v>9</v>
      </c>
      <c r="G15" s="5">
        <f t="shared" si="1"/>
        <v>9</v>
      </c>
      <c r="H15" s="5">
        <f t="shared" si="2"/>
        <v>0</v>
      </c>
      <c r="I15" s="8">
        <f t="shared" si="3"/>
        <v>9</v>
      </c>
      <c r="J15" s="3">
        <v>5</v>
      </c>
      <c r="K15" s="34">
        <v>0</v>
      </c>
      <c r="L15" s="5">
        <v>3</v>
      </c>
      <c r="M15" s="6" t="s">
        <v>15</v>
      </c>
      <c r="N15" s="34">
        <f t="shared" si="4"/>
        <v>15</v>
      </c>
      <c r="O15" s="5">
        <f t="shared" si="5"/>
        <v>15</v>
      </c>
      <c r="P15" s="5">
        <f t="shared" si="6"/>
        <v>5</v>
      </c>
      <c r="Q15" s="8">
        <f t="shared" si="7"/>
        <v>20</v>
      </c>
      <c r="R15" s="36">
        <v>7</v>
      </c>
      <c r="S15" s="3">
        <v>1</v>
      </c>
      <c r="T15" s="5">
        <v>0</v>
      </c>
      <c r="U15" s="6" t="s">
        <v>15</v>
      </c>
      <c r="V15" s="34">
        <f t="shared" si="8"/>
        <v>22</v>
      </c>
      <c r="W15" s="5">
        <f t="shared" si="9"/>
        <v>22</v>
      </c>
      <c r="X15" s="5">
        <f t="shared" si="10"/>
        <v>5</v>
      </c>
      <c r="Y15" s="19">
        <f t="shared" si="11"/>
        <v>27</v>
      </c>
      <c r="Z15" s="26">
        <f t="shared" si="12"/>
        <v>41.7</v>
      </c>
      <c r="AA15" s="27">
        <f t="shared" si="13"/>
        <v>13</v>
      </c>
      <c r="AB15" s="35" t="s">
        <v>13</v>
      </c>
    </row>
    <row r="16" spans="1:31" ht="19">
      <c r="A16" s="35" t="s">
        <v>30</v>
      </c>
      <c r="B16" s="2">
        <v>2</v>
      </c>
      <c r="C16" s="3">
        <v>0</v>
      </c>
      <c r="D16" s="3">
        <v>4</v>
      </c>
      <c r="E16" s="4"/>
      <c r="F16" s="2">
        <f t="shared" si="0"/>
        <v>6</v>
      </c>
      <c r="G16" s="5">
        <f t="shared" si="1"/>
        <v>8</v>
      </c>
      <c r="H16" s="3">
        <f t="shared" si="2"/>
        <v>0</v>
      </c>
      <c r="I16" s="8">
        <f t="shared" si="3"/>
        <v>8</v>
      </c>
      <c r="J16" s="2">
        <v>6</v>
      </c>
      <c r="K16" s="3">
        <v>0</v>
      </c>
      <c r="L16" s="3">
        <v>2</v>
      </c>
      <c r="M16" s="4" t="s">
        <v>14</v>
      </c>
      <c r="N16" s="2">
        <f t="shared" si="4"/>
        <v>18</v>
      </c>
      <c r="O16" s="5">
        <f t="shared" si="5"/>
        <v>18</v>
      </c>
      <c r="P16" s="3">
        <f t="shared" si="6"/>
        <v>20</v>
      </c>
      <c r="Q16" s="8">
        <f t="shared" si="7"/>
        <v>38</v>
      </c>
      <c r="R16" s="2">
        <v>5</v>
      </c>
      <c r="S16" s="3">
        <v>1</v>
      </c>
      <c r="T16" s="3">
        <v>2</v>
      </c>
      <c r="U16" s="4"/>
      <c r="V16" s="2">
        <f t="shared" si="8"/>
        <v>16</v>
      </c>
      <c r="W16" s="5">
        <f t="shared" si="9"/>
        <v>16</v>
      </c>
      <c r="X16" s="3">
        <f t="shared" si="10"/>
        <v>0</v>
      </c>
      <c r="Y16" s="19">
        <f t="shared" si="11"/>
        <v>16</v>
      </c>
      <c r="Z16" s="26">
        <f t="shared" si="12"/>
        <v>41.2</v>
      </c>
      <c r="AA16" s="27">
        <f t="shared" si="13"/>
        <v>14</v>
      </c>
      <c r="AB16" s="35" t="s">
        <v>30</v>
      </c>
    </row>
    <row r="17" spans="1:31" ht="19">
      <c r="A17" s="35" t="s">
        <v>26</v>
      </c>
      <c r="B17" s="18"/>
      <c r="C17" s="30"/>
      <c r="D17" s="30"/>
      <c r="E17" s="31"/>
      <c r="F17" s="18"/>
      <c r="G17" s="30"/>
      <c r="H17" s="30"/>
      <c r="I17" s="8">
        <f t="shared" si="3"/>
        <v>0</v>
      </c>
      <c r="J17" s="34">
        <v>4</v>
      </c>
      <c r="K17" s="5">
        <v>2</v>
      </c>
      <c r="L17" s="5">
        <v>2</v>
      </c>
      <c r="M17" s="6" t="s">
        <v>11</v>
      </c>
      <c r="N17" s="34">
        <f t="shared" si="4"/>
        <v>14</v>
      </c>
      <c r="O17" s="5">
        <f t="shared" si="5"/>
        <v>14</v>
      </c>
      <c r="P17" s="5">
        <f t="shared" si="6"/>
        <v>0</v>
      </c>
      <c r="Q17" s="8">
        <f t="shared" si="7"/>
        <v>14</v>
      </c>
      <c r="R17" s="34">
        <v>7</v>
      </c>
      <c r="S17" s="5">
        <v>0</v>
      </c>
      <c r="T17" s="5">
        <v>1</v>
      </c>
      <c r="U17" s="6" t="s">
        <v>17</v>
      </c>
      <c r="V17" s="34">
        <f t="shared" si="8"/>
        <v>21</v>
      </c>
      <c r="W17" s="5">
        <f t="shared" si="9"/>
        <v>21</v>
      </c>
      <c r="X17" s="5">
        <f t="shared" si="10"/>
        <v>10</v>
      </c>
      <c r="Y17" s="19">
        <f t="shared" si="11"/>
        <v>31</v>
      </c>
      <c r="Z17" s="26">
        <f t="shared" si="12"/>
        <v>39.4</v>
      </c>
      <c r="AA17" s="27">
        <f t="shared" si="13"/>
        <v>15</v>
      </c>
      <c r="AB17" s="35" t="s">
        <v>26</v>
      </c>
    </row>
    <row r="18" spans="1:31" ht="20" thickBot="1">
      <c r="A18" s="35" t="s">
        <v>47</v>
      </c>
      <c r="B18" s="16">
        <v>2</v>
      </c>
      <c r="C18" s="14">
        <v>0</v>
      </c>
      <c r="D18" s="14">
        <v>4</v>
      </c>
      <c r="E18" s="17" t="s">
        <v>33</v>
      </c>
      <c r="F18" s="16">
        <f t="shared" ref="F18:F34" si="14">SUM((B18*3),(C18*1))</f>
        <v>6</v>
      </c>
      <c r="G18" s="14">
        <f t="shared" ref="G18:G34" si="15">IF(SUM(B18:D18)=6,F18*(8/6),IF(SUM(B18:D18)=9,F18*(8/9),F18))</f>
        <v>8</v>
      </c>
      <c r="H18" s="14">
        <f t="shared" ref="H18:H34" si="16">IF(E18="우승",25,IF(E18="준우승",20,IF(E18="4강",15,IF(E18="8강",10,IF(E18="16강",5,IF(E18="버금우승",10,IF(E18="버금준우승",5,0)))))))</f>
        <v>5</v>
      </c>
      <c r="I18" s="15">
        <f t="shared" si="3"/>
        <v>13</v>
      </c>
      <c r="J18" s="16">
        <v>1</v>
      </c>
      <c r="K18" s="14">
        <v>1</v>
      </c>
      <c r="L18" s="14">
        <v>6</v>
      </c>
      <c r="M18" s="17" t="s">
        <v>11</v>
      </c>
      <c r="N18" s="16">
        <f t="shared" si="4"/>
        <v>4</v>
      </c>
      <c r="O18" s="14">
        <f t="shared" si="5"/>
        <v>4</v>
      </c>
      <c r="P18" s="14">
        <f t="shared" si="6"/>
        <v>0</v>
      </c>
      <c r="Q18" s="15">
        <f t="shared" si="7"/>
        <v>4</v>
      </c>
      <c r="R18" s="16">
        <v>6</v>
      </c>
      <c r="S18" s="14">
        <v>0</v>
      </c>
      <c r="T18" s="14">
        <v>2</v>
      </c>
      <c r="U18" s="17" t="s">
        <v>17</v>
      </c>
      <c r="V18" s="16">
        <f t="shared" si="8"/>
        <v>18</v>
      </c>
      <c r="W18" s="14">
        <f t="shared" si="9"/>
        <v>18</v>
      </c>
      <c r="X18" s="14">
        <f t="shared" si="10"/>
        <v>10</v>
      </c>
      <c r="Y18" s="20">
        <f t="shared" si="11"/>
        <v>28</v>
      </c>
      <c r="Z18" s="26">
        <f t="shared" si="12"/>
        <v>34.299999999999997</v>
      </c>
      <c r="AA18" s="27">
        <f t="shared" si="13"/>
        <v>16</v>
      </c>
      <c r="AB18" s="35" t="s">
        <v>47</v>
      </c>
      <c r="AC18" s="37" t="s">
        <v>60</v>
      </c>
      <c r="AD18" s="37"/>
      <c r="AE18" s="37"/>
    </row>
    <row r="19" spans="1:31" ht="19">
      <c r="A19" s="35" t="s">
        <v>42</v>
      </c>
      <c r="B19" s="34">
        <v>4</v>
      </c>
      <c r="C19" s="5">
        <v>0</v>
      </c>
      <c r="D19" s="5">
        <v>2</v>
      </c>
      <c r="E19" s="6" t="s">
        <v>15</v>
      </c>
      <c r="F19" s="34">
        <f t="shared" si="14"/>
        <v>12</v>
      </c>
      <c r="G19" s="5">
        <f t="shared" si="15"/>
        <v>16</v>
      </c>
      <c r="H19" s="5">
        <f t="shared" si="16"/>
        <v>5</v>
      </c>
      <c r="I19" s="8">
        <f t="shared" si="3"/>
        <v>21</v>
      </c>
      <c r="J19" s="34">
        <v>5</v>
      </c>
      <c r="K19" s="5">
        <v>1</v>
      </c>
      <c r="L19" s="5">
        <v>2</v>
      </c>
      <c r="M19" s="6" t="s">
        <v>17</v>
      </c>
      <c r="N19" s="34">
        <f t="shared" si="4"/>
        <v>16</v>
      </c>
      <c r="O19" s="5">
        <f t="shared" si="5"/>
        <v>16</v>
      </c>
      <c r="P19" s="5">
        <f t="shared" si="6"/>
        <v>10</v>
      </c>
      <c r="Q19" s="8">
        <f t="shared" si="7"/>
        <v>26</v>
      </c>
      <c r="R19" s="34">
        <v>4</v>
      </c>
      <c r="S19" s="5">
        <v>0</v>
      </c>
      <c r="T19" s="5">
        <v>4</v>
      </c>
      <c r="U19" s="6"/>
      <c r="V19" s="34">
        <f t="shared" si="8"/>
        <v>12</v>
      </c>
      <c r="W19" s="5">
        <f t="shared" si="9"/>
        <v>12</v>
      </c>
      <c r="X19" s="5">
        <f t="shared" si="10"/>
        <v>0</v>
      </c>
      <c r="Y19" s="19">
        <f t="shared" si="11"/>
        <v>12</v>
      </c>
      <c r="Z19" s="26">
        <f t="shared" si="12"/>
        <v>33.9</v>
      </c>
      <c r="AA19" s="27">
        <f t="shared" si="13"/>
        <v>17</v>
      </c>
      <c r="AB19" s="35" t="s">
        <v>42</v>
      </c>
    </row>
    <row r="20" spans="1:31" ht="19">
      <c r="A20" s="35" t="s">
        <v>41</v>
      </c>
      <c r="B20" s="2">
        <v>4</v>
      </c>
      <c r="C20" s="3">
        <v>1</v>
      </c>
      <c r="D20" s="3">
        <v>3</v>
      </c>
      <c r="E20" s="4" t="s">
        <v>11</v>
      </c>
      <c r="F20" s="2">
        <f t="shared" si="14"/>
        <v>13</v>
      </c>
      <c r="G20" s="5">
        <f t="shared" si="15"/>
        <v>13</v>
      </c>
      <c r="H20" s="3">
        <f t="shared" si="16"/>
        <v>0</v>
      </c>
      <c r="I20" s="8">
        <f t="shared" si="3"/>
        <v>13</v>
      </c>
      <c r="J20" s="2">
        <v>6</v>
      </c>
      <c r="K20" s="3">
        <v>0</v>
      </c>
      <c r="L20" s="3">
        <v>2</v>
      </c>
      <c r="M20" s="4" t="s">
        <v>17</v>
      </c>
      <c r="N20" s="2">
        <f t="shared" si="4"/>
        <v>18</v>
      </c>
      <c r="O20" s="5">
        <f t="shared" si="5"/>
        <v>18</v>
      </c>
      <c r="P20" s="3">
        <f t="shared" si="6"/>
        <v>10</v>
      </c>
      <c r="Q20" s="8">
        <f t="shared" si="7"/>
        <v>28</v>
      </c>
      <c r="R20" s="2">
        <v>4</v>
      </c>
      <c r="S20" s="3">
        <v>0</v>
      </c>
      <c r="T20" s="3">
        <v>4</v>
      </c>
      <c r="U20" s="4"/>
      <c r="V20" s="2">
        <f t="shared" si="8"/>
        <v>12</v>
      </c>
      <c r="W20" s="5">
        <f t="shared" si="9"/>
        <v>12</v>
      </c>
      <c r="X20" s="3">
        <f t="shared" si="10"/>
        <v>0</v>
      </c>
      <c r="Y20" s="19">
        <f t="shared" si="11"/>
        <v>12</v>
      </c>
      <c r="Z20" s="26">
        <f t="shared" si="12"/>
        <v>32.700000000000003</v>
      </c>
      <c r="AA20" s="27">
        <f t="shared" si="13"/>
        <v>18</v>
      </c>
      <c r="AB20" s="35" t="s">
        <v>41</v>
      </c>
    </row>
    <row r="21" spans="1:31" ht="19">
      <c r="A21" s="35" t="s">
        <v>29</v>
      </c>
      <c r="B21" s="2">
        <v>5</v>
      </c>
      <c r="C21" s="3">
        <v>0</v>
      </c>
      <c r="D21" s="3">
        <v>3</v>
      </c>
      <c r="E21" s="4" t="s">
        <v>15</v>
      </c>
      <c r="F21" s="2">
        <f t="shared" si="14"/>
        <v>15</v>
      </c>
      <c r="G21" s="5">
        <f t="shared" si="15"/>
        <v>15</v>
      </c>
      <c r="H21" s="3">
        <f t="shared" si="16"/>
        <v>5</v>
      </c>
      <c r="I21" s="8">
        <f t="shared" si="3"/>
        <v>20</v>
      </c>
      <c r="J21" s="2">
        <v>1</v>
      </c>
      <c r="K21" s="3">
        <v>1</v>
      </c>
      <c r="L21" s="3">
        <v>6</v>
      </c>
      <c r="M21" s="4" t="s">
        <v>11</v>
      </c>
      <c r="N21" s="2">
        <f t="shared" si="4"/>
        <v>4</v>
      </c>
      <c r="O21" s="5">
        <f t="shared" si="5"/>
        <v>4</v>
      </c>
      <c r="P21" s="3">
        <f t="shared" si="6"/>
        <v>0</v>
      </c>
      <c r="Q21" s="8">
        <f t="shared" si="7"/>
        <v>4</v>
      </c>
      <c r="R21" s="2">
        <v>6</v>
      </c>
      <c r="S21" s="3">
        <v>0</v>
      </c>
      <c r="T21" s="3">
        <v>2</v>
      </c>
      <c r="U21" s="4" t="s">
        <v>15</v>
      </c>
      <c r="V21" s="2">
        <f t="shared" si="8"/>
        <v>18</v>
      </c>
      <c r="W21" s="5">
        <f t="shared" si="9"/>
        <v>18</v>
      </c>
      <c r="X21" s="3">
        <f t="shared" si="10"/>
        <v>5</v>
      </c>
      <c r="Y21" s="19">
        <f t="shared" si="11"/>
        <v>23</v>
      </c>
      <c r="Z21" s="26">
        <f t="shared" si="12"/>
        <v>31.4</v>
      </c>
      <c r="AA21" s="27">
        <f t="shared" si="13"/>
        <v>19</v>
      </c>
      <c r="AB21" s="35" t="s">
        <v>29</v>
      </c>
    </row>
    <row r="22" spans="1:31" ht="19">
      <c r="A22" s="35" t="s">
        <v>37</v>
      </c>
      <c r="B22" s="2">
        <v>2</v>
      </c>
      <c r="C22" s="3">
        <v>0</v>
      </c>
      <c r="D22" s="3">
        <v>6</v>
      </c>
      <c r="E22" s="4" t="s">
        <v>11</v>
      </c>
      <c r="F22" s="2">
        <f t="shared" si="14"/>
        <v>6</v>
      </c>
      <c r="G22" s="5">
        <f t="shared" si="15"/>
        <v>6</v>
      </c>
      <c r="H22" s="3">
        <f t="shared" si="16"/>
        <v>0</v>
      </c>
      <c r="I22" s="8">
        <f t="shared" si="3"/>
        <v>6</v>
      </c>
      <c r="J22" s="2">
        <v>4</v>
      </c>
      <c r="K22" s="3">
        <v>1</v>
      </c>
      <c r="L22" s="3">
        <v>3</v>
      </c>
      <c r="M22" s="4" t="s">
        <v>11</v>
      </c>
      <c r="N22" s="2">
        <f t="shared" si="4"/>
        <v>13</v>
      </c>
      <c r="O22" s="5">
        <f t="shared" si="5"/>
        <v>13</v>
      </c>
      <c r="P22" s="3">
        <f t="shared" si="6"/>
        <v>0</v>
      </c>
      <c r="Q22" s="8">
        <f t="shared" si="7"/>
        <v>13</v>
      </c>
      <c r="R22" s="2">
        <v>5</v>
      </c>
      <c r="S22" s="3">
        <v>1</v>
      </c>
      <c r="T22" s="3">
        <v>2</v>
      </c>
      <c r="U22" s="4" t="s">
        <v>15</v>
      </c>
      <c r="V22" s="2">
        <f t="shared" si="8"/>
        <v>16</v>
      </c>
      <c r="W22" s="5">
        <f t="shared" si="9"/>
        <v>16</v>
      </c>
      <c r="X22" s="3">
        <f t="shared" si="10"/>
        <v>5</v>
      </c>
      <c r="Y22" s="19">
        <f t="shared" si="11"/>
        <v>21</v>
      </c>
      <c r="Z22" s="26">
        <f t="shared" si="12"/>
        <v>30.6</v>
      </c>
      <c r="AA22" s="27">
        <f t="shared" si="13"/>
        <v>20</v>
      </c>
      <c r="AB22" s="35" t="s">
        <v>37</v>
      </c>
    </row>
    <row r="23" spans="1:31" ht="19">
      <c r="A23" s="35" t="s">
        <v>43</v>
      </c>
      <c r="B23" s="2">
        <v>3</v>
      </c>
      <c r="C23" s="3">
        <v>0</v>
      </c>
      <c r="D23" s="3">
        <v>5</v>
      </c>
      <c r="E23" s="4" t="s">
        <v>11</v>
      </c>
      <c r="F23" s="2">
        <f t="shared" si="14"/>
        <v>9</v>
      </c>
      <c r="G23" s="5">
        <f t="shared" si="15"/>
        <v>9</v>
      </c>
      <c r="H23" s="3">
        <f t="shared" si="16"/>
        <v>0</v>
      </c>
      <c r="I23" s="8">
        <f t="shared" si="3"/>
        <v>9</v>
      </c>
      <c r="J23" s="2">
        <v>6</v>
      </c>
      <c r="K23" s="3">
        <v>0</v>
      </c>
      <c r="L23" s="3">
        <v>2</v>
      </c>
      <c r="M23" s="4" t="s">
        <v>15</v>
      </c>
      <c r="N23" s="2">
        <f t="shared" si="4"/>
        <v>18</v>
      </c>
      <c r="O23" s="5">
        <f t="shared" si="5"/>
        <v>18</v>
      </c>
      <c r="P23" s="3">
        <f t="shared" si="6"/>
        <v>5</v>
      </c>
      <c r="Q23" s="8">
        <f t="shared" si="7"/>
        <v>23</v>
      </c>
      <c r="R23" s="2">
        <v>4</v>
      </c>
      <c r="S23" s="3">
        <v>0</v>
      </c>
      <c r="T23" s="3">
        <v>4</v>
      </c>
      <c r="U23" s="4"/>
      <c r="V23" s="2">
        <f t="shared" si="8"/>
        <v>12</v>
      </c>
      <c r="W23" s="5">
        <f t="shared" si="9"/>
        <v>12</v>
      </c>
      <c r="X23" s="3">
        <f t="shared" si="10"/>
        <v>0</v>
      </c>
      <c r="Y23" s="19">
        <f t="shared" si="11"/>
        <v>12</v>
      </c>
      <c r="Z23" s="26">
        <f t="shared" si="12"/>
        <v>28.5</v>
      </c>
      <c r="AA23" s="27">
        <f t="shared" si="13"/>
        <v>21</v>
      </c>
      <c r="AB23" s="35" t="s">
        <v>43</v>
      </c>
    </row>
    <row r="24" spans="1:31" ht="19">
      <c r="A24" s="35" t="s">
        <v>18</v>
      </c>
      <c r="B24" s="2">
        <v>7</v>
      </c>
      <c r="C24" s="3">
        <v>0</v>
      </c>
      <c r="D24" s="3">
        <v>1</v>
      </c>
      <c r="E24" s="4" t="s">
        <v>17</v>
      </c>
      <c r="F24" s="2">
        <f t="shared" si="14"/>
        <v>21</v>
      </c>
      <c r="G24" s="5">
        <f t="shared" si="15"/>
        <v>21</v>
      </c>
      <c r="H24" s="3">
        <f t="shared" si="16"/>
        <v>10</v>
      </c>
      <c r="I24" s="8">
        <f t="shared" si="3"/>
        <v>31</v>
      </c>
      <c r="J24" s="2">
        <v>2</v>
      </c>
      <c r="K24" s="3">
        <v>1</v>
      </c>
      <c r="L24" s="3">
        <v>5</v>
      </c>
      <c r="M24" s="4" t="s">
        <v>11</v>
      </c>
      <c r="N24" s="2">
        <f t="shared" si="4"/>
        <v>7</v>
      </c>
      <c r="O24" s="5">
        <f t="shared" si="5"/>
        <v>7</v>
      </c>
      <c r="P24" s="3">
        <f t="shared" si="6"/>
        <v>0</v>
      </c>
      <c r="Q24" s="8">
        <f t="shared" si="7"/>
        <v>7</v>
      </c>
      <c r="R24" s="2">
        <v>5</v>
      </c>
      <c r="S24" s="3">
        <v>0</v>
      </c>
      <c r="T24" s="3">
        <v>3</v>
      </c>
      <c r="U24" s="4"/>
      <c r="V24" s="2">
        <f t="shared" si="8"/>
        <v>15</v>
      </c>
      <c r="W24" s="5">
        <f t="shared" si="9"/>
        <v>15</v>
      </c>
      <c r="X24" s="3">
        <f t="shared" si="10"/>
        <v>0</v>
      </c>
      <c r="Y24" s="19">
        <f t="shared" si="11"/>
        <v>15</v>
      </c>
      <c r="Z24" s="26">
        <f t="shared" si="12"/>
        <v>28.5</v>
      </c>
      <c r="AA24" s="27">
        <f t="shared" si="13"/>
        <v>21</v>
      </c>
      <c r="AB24" s="35" t="s">
        <v>18</v>
      </c>
    </row>
    <row r="25" spans="1:31" ht="19">
      <c r="A25" s="35" t="s">
        <v>49</v>
      </c>
      <c r="B25" s="2">
        <v>4</v>
      </c>
      <c r="C25" s="3">
        <v>0</v>
      </c>
      <c r="D25" s="3">
        <v>4</v>
      </c>
      <c r="E25" s="4" t="s">
        <v>11</v>
      </c>
      <c r="F25" s="2">
        <f t="shared" si="14"/>
        <v>12</v>
      </c>
      <c r="G25" s="5">
        <f t="shared" si="15"/>
        <v>12</v>
      </c>
      <c r="H25" s="3">
        <f t="shared" si="16"/>
        <v>0</v>
      </c>
      <c r="I25" s="8">
        <f t="shared" si="3"/>
        <v>12</v>
      </c>
      <c r="J25" s="2">
        <v>3</v>
      </c>
      <c r="K25" s="3">
        <v>1</v>
      </c>
      <c r="L25" s="3">
        <v>4</v>
      </c>
      <c r="M25" s="4" t="s">
        <v>19</v>
      </c>
      <c r="N25" s="2">
        <f t="shared" si="4"/>
        <v>10</v>
      </c>
      <c r="O25" s="5">
        <f t="shared" si="5"/>
        <v>10</v>
      </c>
      <c r="P25" s="3">
        <f t="shared" si="6"/>
        <v>10</v>
      </c>
      <c r="Q25" s="8">
        <f t="shared" si="7"/>
        <v>20</v>
      </c>
      <c r="R25" s="2">
        <v>2</v>
      </c>
      <c r="S25" s="3">
        <v>1</v>
      </c>
      <c r="T25" s="3">
        <v>5</v>
      </c>
      <c r="U25" s="4"/>
      <c r="V25" s="2">
        <f t="shared" si="8"/>
        <v>7</v>
      </c>
      <c r="W25" s="5">
        <f t="shared" si="9"/>
        <v>7</v>
      </c>
      <c r="X25" s="3">
        <f t="shared" si="10"/>
        <v>0</v>
      </c>
      <c r="Y25" s="19">
        <f t="shared" si="11"/>
        <v>7</v>
      </c>
      <c r="Z25" s="26">
        <f t="shared" si="12"/>
        <v>22.6</v>
      </c>
      <c r="AA25" s="27">
        <f t="shared" si="13"/>
        <v>23</v>
      </c>
      <c r="AB25" s="35" t="s">
        <v>49</v>
      </c>
    </row>
    <row r="26" spans="1:31" ht="20" thickBot="1">
      <c r="A26" s="35" t="s">
        <v>51</v>
      </c>
      <c r="B26" s="12">
        <v>4</v>
      </c>
      <c r="C26" s="1">
        <v>0</v>
      </c>
      <c r="D26" s="1">
        <v>4</v>
      </c>
      <c r="E26" s="13" t="s">
        <v>11</v>
      </c>
      <c r="F26" s="12">
        <f t="shared" si="14"/>
        <v>12</v>
      </c>
      <c r="G26" s="14">
        <f t="shared" si="15"/>
        <v>12</v>
      </c>
      <c r="H26" s="1">
        <f t="shared" si="16"/>
        <v>0</v>
      </c>
      <c r="I26" s="15">
        <f t="shared" si="3"/>
        <v>12</v>
      </c>
      <c r="J26" s="12">
        <v>5</v>
      </c>
      <c r="K26" s="1">
        <v>0</v>
      </c>
      <c r="L26" s="1">
        <v>3</v>
      </c>
      <c r="M26" s="13" t="s">
        <v>33</v>
      </c>
      <c r="N26" s="12">
        <f t="shared" si="4"/>
        <v>15</v>
      </c>
      <c r="O26" s="14">
        <f t="shared" si="5"/>
        <v>15</v>
      </c>
      <c r="P26" s="1">
        <f t="shared" si="6"/>
        <v>5</v>
      </c>
      <c r="Q26" s="15">
        <f t="shared" si="7"/>
        <v>20</v>
      </c>
      <c r="R26" s="12">
        <v>2</v>
      </c>
      <c r="S26" s="1">
        <v>0</v>
      </c>
      <c r="T26" s="1">
        <v>6</v>
      </c>
      <c r="U26" s="13"/>
      <c r="V26" s="12">
        <f t="shared" si="8"/>
        <v>6</v>
      </c>
      <c r="W26" s="14">
        <f t="shared" si="9"/>
        <v>6</v>
      </c>
      <c r="X26" s="1">
        <f t="shared" si="10"/>
        <v>0</v>
      </c>
      <c r="Y26" s="20">
        <f t="shared" si="11"/>
        <v>6</v>
      </c>
      <c r="Z26" s="26">
        <f t="shared" si="12"/>
        <v>21.6</v>
      </c>
      <c r="AA26" s="27">
        <f t="shared" si="13"/>
        <v>24</v>
      </c>
      <c r="AB26" s="35" t="s">
        <v>51</v>
      </c>
      <c r="AC26" s="37" t="s">
        <v>61</v>
      </c>
      <c r="AD26" s="37"/>
      <c r="AE26" s="37"/>
    </row>
    <row r="27" spans="1:31" ht="19">
      <c r="A27" s="35" t="s">
        <v>45</v>
      </c>
      <c r="B27" s="34">
        <v>2</v>
      </c>
      <c r="C27" s="5">
        <v>1</v>
      </c>
      <c r="D27" s="5">
        <v>5</v>
      </c>
      <c r="E27" s="6" t="s">
        <v>11</v>
      </c>
      <c r="F27" s="34">
        <f t="shared" si="14"/>
        <v>7</v>
      </c>
      <c r="G27" s="5">
        <f t="shared" si="15"/>
        <v>7</v>
      </c>
      <c r="H27" s="5">
        <f t="shared" si="16"/>
        <v>0</v>
      </c>
      <c r="I27" s="8">
        <f t="shared" si="3"/>
        <v>7</v>
      </c>
      <c r="J27" s="34">
        <v>2</v>
      </c>
      <c r="K27" s="5">
        <v>1</v>
      </c>
      <c r="L27" s="5">
        <v>5</v>
      </c>
      <c r="M27" s="6" t="s">
        <v>11</v>
      </c>
      <c r="N27" s="34">
        <f t="shared" si="4"/>
        <v>7</v>
      </c>
      <c r="O27" s="5">
        <f t="shared" si="5"/>
        <v>7</v>
      </c>
      <c r="P27" s="5">
        <f t="shared" si="6"/>
        <v>0</v>
      </c>
      <c r="Q27" s="8">
        <f t="shared" si="7"/>
        <v>7</v>
      </c>
      <c r="R27" s="34">
        <v>3</v>
      </c>
      <c r="S27" s="5">
        <v>0</v>
      </c>
      <c r="T27" s="5">
        <v>5</v>
      </c>
      <c r="U27" s="6" t="s">
        <v>33</v>
      </c>
      <c r="V27" s="34">
        <f t="shared" si="8"/>
        <v>9</v>
      </c>
      <c r="W27" s="5">
        <f t="shared" si="9"/>
        <v>9</v>
      </c>
      <c r="X27" s="5">
        <f t="shared" si="10"/>
        <v>5</v>
      </c>
      <c r="Y27" s="19">
        <f t="shared" si="11"/>
        <v>14</v>
      </c>
      <c r="Z27" s="26">
        <f t="shared" si="12"/>
        <v>20.3</v>
      </c>
      <c r="AA27" s="27">
        <f t="shared" si="13"/>
        <v>25</v>
      </c>
      <c r="AB27" s="35" t="s">
        <v>45</v>
      </c>
    </row>
    <row r="28" spans="1:31" ht="19">
      <c r="A28" s="35" t="s">
        <v>63</v>
      </c>
      <c r="B28" s="2">
        <v>7</v>
      </c>
      <c r="C28" s="3">
        <v>0</v>
      </c>
      <c r="D28" s="3">
        <v>1</v>
      </c>
      <c r="E28" s="4" t="s">
        <v>15</v>
      </c>
      <c r="F28" s="2">
        <f t="shared" si="14"/>
        <v>21</v>
      </c>
      <c r="G28" s="5">
        <f t="shared" si="15"/>
        <v>21</v>
      </c>
      <c r="H28" s="3">
        <f t="shared" si="16"/>
        <v>5</v>
      </c>
      <c r="I28" s="8">
        <f t="shared" si="3"/>
        <v>26</v>
      </c>
      <c r="J28" s="2">
        <v>2</v>
      </c>
      <c r="K28" s="3">
        <v>2</v>
      </c>
      <c r="L28" s="3">
        <v>4</v>
      </c>
      <c r="M28" s="4" t="s">
        <v>11</v>
      </c>
      <c r="N28" s="2">
        <f t="shared" si="4"/>
        <v>8</v>
      </c>
      <c r="O28" s="5">
        <f t="shared" si="5"/>
        <v>8</v>
      </c>
      <c r="P28" s="3">
        <f t="shared" si="6"/>
        <v>0</v>
      </c>
      <c r="Q28" s="8">
        <f t="shared" si="7"/>
        <v>8</v>
      </c>
      <c r="R28" s="2">
        <v>2</v>
      </c>
      <c r="S28" s="3">
        <v>1</v>
      </c>
      <c r="T28" s="3">
        <v>5</v>
      </c>
      <c r="U28" s="4"/>
      <c r="V28" s="2">
        <f t="shared" si="8"/>
        <v>7</v>
      </c>
      <c r="W28" s="5">
        <f t="shared" si="9"/>
        <v>7</v>
      </c>
      <c r="X28" s="3">
        <f t="shared" si="10"/>
        <v>0</v>
      </c>
      <c r="Y28" s="19">
        <f t="shared" si="11"/>
        <v>7</v>
      </c>
      <c r="Z28" s="26">
        <f t="shared" si="12"/>
        <v>19.600000000000001</v>
      </c>
      <c r="AA28" s="27">
        <f t="shared" si="13"/>
        <v>26</v>
      </c>
      <c r="AB28" s="35" t="s">
        <v>63</v>
      </c>
    </row>
    <row r="29" spans="1:31" ht="19">
      <c r="A29" s="35" t="s">
        <v>46</v>
      </c>
      <c r="B29" s="3">
        <v>3</v>
      </c>
      <c r="C29" s="3">
        <v>0</v>
      </c>
      <c r="D29" s="3">
        <v>5</v>
      </c>
      <c r="E29" s="4" t="s">
        <v>19</v>
      </c>
      <c r="F29" s="36">
        <f t="shared" si="14"/>
        <v>9</v>
      </c>
      <c r="G29" s="3">
        <f t="shared" si="15"/>
        <v>9</v>
      </c>
      <c r="H29" s="3">
        <f t="shared" si="16"/>
        <v>10</v>
      </c>
      <c r="I29" s="8">
        <f t="shared" si="3"/>
        <v>19</v>
      </c>
      <c r="J29" s="2">
        <v>3</v>
      </c>
      <c r="K29" s="3">
        <v>0</v>
      </c>
      <c r="L29" s="3">
        <v>5</v>
      </c>
      <c r="M29" s="4" t="s">
        <v>11</v>
      </c>
      <c r="N29" s="2">
        <f t="shared" si="4"/>
        <v>9</v>
      </c>
      <c r="O29" s="5">
        <f t="shared" si="5"/>
        <v>9</v>
      </c>
      <c r="P29" s="3">
        <f t="shared" si="6"/>
        <v>0</v>
      </c>
      <c r="Q29" s="8">
        <f t="shared" si="7"/>
        <v>9</v>
      </c>
      <c r="R29" s="34">
        <v>2</v>
      </c>
      <c r="S29" s="5">
        <v>2</v>
      </c>
      <c r="T29" s="5">
        <v>4</v>
      </c>
      <c r="U29" s="6"/>
      <c r="V29" s="34">
        <f t="shared" si="8"/>
        <v>8</v>
      </c>
      <c r="W29" s="5">
        <f t="shared" si="9"/>
        <v>8</v>
      </c>
      <c r="X29" s="5">
        <f t="shared" si="10"/>
        <v>0</v>
      </c>
      <c r="Y29" s="19">
        <f t="shared" si="11"/>
        <v>8</v>
      </c>
      <c r="Z29" s="26">
        <f t="shared" si="12"/>
        <v>19.100000000000001</v>
      </c>
      <c r="AA29" s="27">
        <f t="shared" si="13"/>
        <v>27</v>
      </c>
      <c r="AB29" s="35" t="s">
        <v>46</v>
      </c>
    </row>
    <row r="30" spans="1:31" ht="19">
      <c r="A30" s="35" t="s">
        <v>28</v>
      </c>
      <c r="B30" s="2">
        <v>4</v>
      </c>
      <c r="C30" s="3">
        <v>0</v>
      </c>
      <c r="D30" s="3">
        <v>4</v>
      </c>
      <c r="E30" s="4" t="s">
        <v>11</v>
      </c>
      <c r="F30" s="2">
        <f t="shared" si="14"/>
        <v>12</v>
      </c>
      <c r="G30" s="5">
        <f t="shared" si="15"/>
        <v>12</v>
      </c>
      <c r="H30" s="3">
        <f t="shared" si="16"/>
        <v>0</v>
      </c>
      <c r="I30" s="8">
        <f t="shared" si="3"/>
        <v>12</v>
      </c>
      <c r="J30" s="2">
        <v>4</v>
      </c>
      <c r="K30" s="3">
        <v>1</v>
      </c>
      <c r="L30" s="3">
        <v>3</v>
      </c>
      <c r="M30" s="4" t="s">
        <v>15</v>
      </c>
      <c r="N30" s="2">
        <f t="shared" si="4"/>
        <v>13</v>
      </c>
      <c r="O30" s="5">
        <f t="shared" si="5"/>
        <v>13</v>
      </c>
      <c r="P30" s="3">
        <f t="shared" si="6"/>
        <v>5</v>
      </c>
      <c r="Q30" s="8">
        <f t="shared" si="7"/>
        <v>18</v>
      </c>
      <c r="R30" s="2">
        <v>1</v>
      </c>
      <c r="S30" s="3">
        <v>1</v>
      </c>
      <c r="T30" s="3">
        <v>6</v>
      </c>
      <c r="U30" s="4"/>
      <c r="V30" s="2">
        <f t="shared" si="8"/>
        <v>4</v>
      </c>
      <c r="W30" s="5">
        <f t="shared" si="9"/>
        <v>4</v>
      </c>
      <c r="X30" s="3">
        <f t="shared" si="10"/>
        <v>0</v>
      </c>
      <c r="Y30" s="19">
        <f t="shared" si="11"/>
        <v>4</v>
      </c>
      <c r="Z30" s="26">
        <f t="shared" si="12"/>
        <v>18.399999999999999</v>
      </c>
      <c r="AA30" s="27">
        <f t="shared" si="13"/>
        <v>28</v>
      </c>
      <c r="AB30" s="35" t="s">
        <v>28</v>
      </c>
    </row>
    <row r="31" spans="1:31" ht="19">
      <c r="A31" s="35" t="s">
        <v>31</v>
      </c>
      <c r="B31" s="2">
        <v>6</v>
      </c>
      <c r="C31" s="3">
        <v>0</v>
      </c>
      <c r="D31" s="3">
        <v>2</v>
      </c>
      <c r="E31" s="4" t="s">
        <v>15</v>
      </c>
      <c r="F31" s="2">
        <f t="shared" si="14"/>
        <v>18</v>
      </c>
      <c r="G31" s="5">
        <f t="shared" si="15"/>
        <v>18</v>
      </c>
      <c r="H31" s="3">
        <f t="shared" si="16"/>
        <v>5</v>
      </c>
      <c r="I31" s="8">
        <f t="shared" si="3"/>
        <v>23</v>
      </c>
      <c r="J31" s="2">
        <v>3</v>
      </c>
      <c r="K31" s="3">
        <v>0</v>
      </c>
      <c r="L31" s="3">
        <v>5</v>
      </c>
      <c r="M31" s="4" t="s">
        <v>11</v>
      </c>
      <c r="N31" s="2">
        <f t="shared" si="4"/>
        <v>9</v>
      </c>
      <c r="O31" s="5">
        <f t="shared" si="5"/>
        <v>9</v>
      </c>
      <c r="P31" s="3">
        <f t="shared" si="6"/>
        <v>0</v>
      </c>
      <c r="Q31" s="8">
        <f t="shared" si="7"/>
        <v>9</v>
      </c>
      <c r="R31" s="2">
        <v>2</v>
      </c>
      <c r="S31" s="3">
        <v>0</v>
      </c>
      <c r="T31" s="3">
        <v>6</v>
      </c>
      <c r="U31" s="4"/>
      <c r="V31" s="2">
        <f t="shared" si="8"/>
        <v>6</v>
      </c>
      <c r="W31" s="5">
        <f t="shared" si="9"/>
        <v>6</v>
      </c>
      <c r="X31" s="3">
        <f t="shared" si="10"/>
        <v>0</v>
      </c>
      <c r="Y31" s="19">
        <f t="shared" si="11"/>
        <v>6</v>
      </c>
      <c r="Z31" s="26">
        <f t="shared" si="12"/>
        <v>18.299999999999997</v>
      </c>
      <c r="AA31" s="27">
        <f t="shared" si="13"/>
        <v>29</v>
      </c>
      <c r="AB31" s="35" t="s">
        <v>31</v>
      </c>
    </row>
    <row r="32" spans="1:31" ht="19">
      <c r="A32" s="35" t="s">
        <v>55</v>
      </c>
      <c r="B32" s="2">
        <v>1</v>
      </c>
      <c r="C32" s="3">
        <v>0</v>
      </c>
      <c r="D32" s="3">
        <v>7</v>
      </c>
      <c r="E32" s="4" t="s">
        <v>11</v>
      </c>
      <c r="F32" s="2">
        <f t="shared" si="14"/>
        <v>3</v>
      </c>
      <c r="G32" s="5">
        <f t="shared" si="15"/>
        <v>3</v>
      </c>
      <c r="H32" s="3">
        <f t="shared" si="16"/>
        <v>0</v>
      </c>
      <c r="I32" s="8">
        <f t="shared" si="3"/>
        <v>3</v>
      </c>
      <c r="J32" s="2">
        <v>4</v>
      </c>
      <c r="K32" s="3">
        <v>1</v>
      </c>
      <c r="L32" s="3">
        <v>3</v>
      </c>
      <c r="M32" s="4" t="s">
        <v>11</v>
      </c>
      <c r="N32" s="2">
        <f t="shared" si="4"/>
        <v>13</v>
      </c>
      <c r="O32" s="5">
        <f t="shared" si="5"/>
        <v>13</v>
      </c>
      <c r="P32" s="3">
        <f t="shared" si="6"/>
        <v>0</v>
      </c>
      <c r="Q32" s="8">
        <f t="shared" si="7"/>
        <v>13</v>
      </c>
      <c r="R32" s="2">
        <v>3</v>
      </c>
      <c r="S32" s="3">
        <v>0</v>
      </c>
      <c r="T32" s="3">
        <v>5</v>
      </c>
      <c r="U32" s="4"/>
      <c r="V32" s="2">
        <f t="shared" si="8"/>
        <v>9</v>
      </c>
      <c r="W32" s="5">
        <f t="shared" si="9"/>
        <v>9</v>
      </c>
      <c r="X32" s="3">
        <f t="shared" si="10"/>
        <v>0</v>
      </c>
      <c r="Y32" s="19">
        <f t="shared" si="11"/>
        <v>9</v>
      </c>
      <c r="Z32" s="26">
        <f t="shared" si="12"/>
        <v>17.7</v>
      </c>
      <c r="AA32" s="27">
        <f t="shared" si="13"/>
        <v>30</v>
      </c>
      <c r="AB32" s="35" t="s">
        <v>55</v>
      </c>
    </row>
    <row r="33" spans="1:31" ht="19">
      <c r="A33" s="35" t="s">
        <v>52</v>
      </c>
      <c r="B33" s="2">
        <v>2</v>
      </c>
      <c r="C33" s="3">
        <v>0</v>
      </c>
      <c r="D33" s="3">
        <v>6</v>
      </c>
      <c r="E33" s="4" t="s">
        <v>11</v>
      </c>
      <c r="F33" s="2">
        <f t="shared" si="14"/>
        <v>6</v>
      </c>
      <c r="G33" s="5">
        <f t="shared" si="15"/>
        <v>6</v>
      </c>
      <c r="H33" s="3">
        <f t="shared" si="16"/>
        <v>0</v>
      </c>
      <c r="I33" s="8">
        <f t="shared" si="3"/>
        <v>6</v>
      </c>
      <c r="J33" s="2">
        <v>4</v>
      </c>
      <c r="K33" s="3">
        <v>1</v>
      </c>
      <c r="L33" s="3">
        <v>3</v>
      </c>
      <c r="M33" s="4" t="s">
        <v>11</v>
      </c>
      <c r="N33" s="2">
        <f t="shared" si="4"/>
        <v>13</v>
      </c>
      <c r="O33" s="5">
        <f t="shared" si="5"/>
        <v>13</v>
      </c>
      <c r="P33" s="3">
        <f t="shared" si="6"/>
        <v>0</v>
      </c>
      <c r="Q33" s="8">
        <f t="shared" si="7"/>
        <v>13</v>
      </c>
      <c r="R33" s="2">
        <v>2</v>
      </c>
      <c r="S33" s="3">
        <v>0</v>
      </c>
      <c r="T33" s="3">
        <v>6</v>
      </c>
      <c r="U33" s="4"/>
      <c r="V33" s="2">
        <f t="shared" si="8"/>
        <v>6</v>
      </c>
      <c r="W33" s="5">
        <f t="shared" si="9"/>
        <v>6</v>
      </c>
      <c r="X33" s="3">
        <f t="shared" si="10"/>
        <v>0</v>
      </c>
      <c r="Y33" s="19">
        <f t="shared" si="11"/>
        <v>6</v>
      </c>
      <c r="Z33" s="26">
        <f t="shared" si="12"/>
        <v>15.6</v>
      </c>
      <c r="AA33" s="27">
        <f t="shared" si="13"/>
        <v>31</v>
      </c>
      <c r="AB33" s="35" t="s">
        <v>52</v>
      </c>
    </row>
    <row r="34" spans="1:31" ht="20" thickBot="1">
      <c r="A34" s="35" t="s">
        <v>39</v>
      </c>
      <c r="B34" s="16">
        <v>1</v>
      </c>
      <c r="C34" s="14">
        <v>1</v>
      </c>
      <c r="D34" s="14">
        <v>6</v>
      </c>
      <c r="E34" s="17" t="s">
        <v>11</v>
      </c>
      <c r="F34" s="16">
        <f t="shared" si="14"/>
        <v>4</v>
      </c>
      <c r="G34" s="14">
        <f t="shared" si="15"/>
        <v>4</v>
      </c>
      <c r="H34" s="14">
        <f t="shared" si="16"/>
        <v>0</v>
      </c>
      <c r="I34" s="15">
        <f t="shared" si="3"/>
        <v>4</v>
      </c>
      <c r="J34" s="16">
        <v>1</v>
      </c>
      <c r="K34" s="14">
        <v>0</v>
      </c>
      <c r="L34" s="14">
        <v>7</v>
      </c>
      <c r="M34" s="17" t="s">
        <v>11</v>
      </c>
      <c r="N34" s="16">
        <f t="shared" si="4"/>
        <v>3</v>
      </c>
      <c r="O34" s="14">
        <f t="shared" si="5"/>
        <v>3</v>
      </c>
      <c r="P34" s="14">
        <f t="shared" si="6"/>
        <v>0</v>
      </c>
      <c r="Q34" s="15">
        <f t="shared" si="7"/>
        <v>3</v>
      </c>
      <c r="R34" s="16">
        <v>4</v>
      </c>
      <c r="S34" s="14">
        <v>0</v>
      </c>
      <c r="T34" s="14">
        <v>4</v>
      </c>
      <c r="U34" s="17"/>
      <c r="V34" s="16">
        <f t="shared" si="8"/>
        <v>12</v>
      </c>
      <c r="W34" s="14">
        <f t="shared" si="9"/>
        <v>12</v>
      </c>
      <c r="X34" s="14">
        <f t="shared" si="10"/>
        <v>0</v>
      </c>
      <c r="Y34" s="20">
        <f t="shared" si="11"/>
        <v>12</v>
      </c>
      <c r="Z34" s="26">
        <f t="shared" si="12"/>
        <v>15</v>
      </c>
      <c r="AA34" s="27">
        <f t="shared" si="13"/>
        <v>32</v>
      </c>
      <c r="AB34" s="35" t="s">
        <v>39</v>
      </c>
      <c r="AC34" s="37" t="s">
        <v>62</v>
      </c>
      <c r="AD34" s="37"/>
      <c r="AE34" s="37"/>
    </row>
    <row r="35" spans="1:31" ht="19">
      <c r="A35" s="35" t="s">
        <v>58</v>
      </c>
      <c r="B35" s="18"/>
      <c r="C35" s="30"/>
      <c r="D35" s="30"/>
      <c r="E35" s="31"/>
      <c r="F35" s="18"/>
      <c r="G35" s="30"/>
      <c r="H35" s="30"/>
      <c r="I35" s="8">
        <f t="shared" si="3"/>
        <v>0</v>
      </c>
      <c r="J35" s="34">
        <v>2</v>
      </c>
      <c r="K35" s="5">
        <v>0</v>
      </c>
      <c r="L35" s="5">
        <v>6</v>
      </c>
      <c r="M35" s="6" t="s">
        <v>11</v>
      </c>
      <c r="N35" s="34">
        <f t="shared" si="4"/>
        <v>6</v>
      </c>
      <c r="O35" s="5">
        <f t="shared" si="5"/>
        <v>6</v>
      </c>
      <c r="P35" s="5">
        <f t="shared" si="6"/>
        <v>0</v>
      </c>
      <c r="Q35" s="8">
        <f t="shared" si="7"/>
        <v>6</v>
      </c>
      <c r="R35" s="34">
        <v>3</v>
      </c>
      <c r="S35" s="5">
        <v>0</v>
      </c>
      <c r="T35" s="5">
        <v>5</v>
      </c>
      <c r="U35" s="6"/>
      <c r="V35" s="34">
        <f t="shared" si="8"/>
        <v>9</v>
      </c>
      <c r="W35" s="5">
        <f t="shared" si="9"/>
        <v>9</v>
      </c>
      <c r="X35" s="5">
        <f t="shared" si="10"/>
        <v>0</v>
      </c>
      <c r="Y35" s="19">
        <f t="shared" si="11"/>
        <v>9</v>
      </c>
      <c r="Z35" s="26">
        <f t="shared" si="12"/>
        <v>12.6</v>
      </c>
      <c r="AA35" s="27">
        <f t="shared" si="13"/>
        <v>33</v>
      </c>
      <c r="AB35" s="35" t="s">
        <v>58</v>
      </c>
    </row>
    <row r="36" spans="1:31" ht="19">
      <c r="A36" s="35" t="s">
        <v>27</v>
      </c>
      <c r="B36" s="2">
        <v>6</v>
      </c>
      <c r="C36" s="3">
        <v>0</v>
      </c>
      <c r="D36" s="3">
        <v>2</v>
      </c>
      <c r="E36" s="4" t="s">
        <v>15</v>
      </c>
      <c r="F36" s="2">
        <f t="shared" ref="F36:F42" si="17">SUM((B36*3),(C36*1))</f>
        <v>18</v>
      </c>
      <c r="G36" s="5">
        <f t="shared" ref="G36:G42" si="18">IF(SUM(B36:D36)=6,F36*(8/6),IF(SUM(B36:D36)=9,F36*(8/9),F36))</f>
        <v>18</v>
      </c>
      <c r="H36" s="3">
        <f t="shared" ref="H36:H42" si="19">IF(E36="우승",25,IF(E36="준우승",20,IF(E36="4강",15,IF(E36="8강",10,IF(E36="16강",5,IF(E36="버금우승",10,IF(E36="버금준우승",5,0)))))))</f>
        <v>5</v>
      </c>
      <c r="I36" s="8">
        <f t="shared" si="3"/>
        <v>23</v>
      </c>
      <c r="J36" s="2">
        <v>2</v>
      </c>
      <c r="K36" s="3">
        <v>0</v>
      </c>
      <c r="L36" s="3">
        <v>6</v>
      </c>
      <c r="M36" s="4" t="s">
        <v>11</v>
      </c>
      <c r="N36" s="2">
        <f t="shared" si="4"/>
        <v>6</v>
      </c>
      <c r="O36" s="5">
        <f t="shared" si="5"/>
        <v>6</v>
      </c>
      <c r="P36" s="3">
        <f t="shared" si="6"/>
        <v>0</v>
      </c>
      <c r="Q36" s="8">
        <f t="shared" si="7"/>
        <v>6</v>
      </c>
      <c r="R36" s="2">
        <v>0</v>
      </c>
      <c r="S36" s="3">
        <v>0</v>
      </c>
      <c r="T36" s="3">
        <v>8</v>
      </c>
      <c r="U36" s="4"/>
      <c r="V36" s="2">
        <f t="shared" si="8"/>
        <v>0</v>
      </c>
      <c r="W36" s="5">
        <f t="shared" si="9"/>
        <v>0</v>
      </c>
      <c r="X36" s="3">
        <f t="shared" si="10"/>
        <v>0</v>
      </c>
      <c r="Y36" s="19">
        <f t="shared" si="11"/>
        <v>0</v>
      </c>
      <c r="Z36" s="26">
        <f t="shared" si="12"/>
        <v>10.5</v>
      </c>
      <c r="AA36" s="27">
        <f t="shared" si="13"/>
        <v>34</v>
      </c>
      <c r="AB36" s="35" t="s">
        <v>27</v>
      </c>
    </row>
    <row r="37" spans="1:31" ht="19">
      <c r="A37" s="35" t="s">
        <v>56</v>
      </c>
      <c r="B37" s="34">
        <v>1</v>
      </c>
      <c r="C37" s="5">
        <v>0</v>
      </c>
      <c r="D37" s="5">
        <v>7</v>
      </c>
      <c r="E37" s="6" t="s">
        <v>11</v>
      </c>
      <c r="F37" s="34">
        <f t="shared" si="17"/>
        <v>3</v>
      </c>
      <c r="G37" s="5">
        <f t="shared" si="18"/>
        <v>3</v>
      </c>
      <c r="H37" s="5">
        <f t="shared" si="19"/>
        <v>0</v>
      </c>
      <c r="I37" s="8">
        <f t="shared" si="3"/>
        <v>3</v>
      </c>
      <c r="J37" s="34">
        <v>2</v>
      </c>
      <c r="K37" s="5">
        <v>0</v>
      </c>
      <c r="L37" s="5">
        <v>6</v>
      </c>
      <c r="M37" s="6" t="s">
        <v>11</v>
      </c>
      <c r="N37" s="34">
        <f t="shared" si="4"/>
        <v>6</v>
      </c>
      <c r="O37" s="5">
        <f t="shared" si="5"/>
        <v>6</v>
      </c>
      <c r="P37" s="5">
        <f t="shared" si="6"/>
        <v>0</v>
      </c>
      <c r="Q37" s="8">
        <f t="shared" si="7"/>
        <v>6</v>
      </c>
      <c r="R37" s="34">
        <v>2</v>
      </c>
      <c r="S37" s="5">
        <v>0</v>
      </c>
      <c r="T37" s="5">
        <v>6</v>
      </c>
      <c r="U37" s="6"/>
      <c r="V37" s="34">
        <f t="shared" si="8"/>
        <v>6</v>
      </c>
      <c r="W37" s="5">
        <f t="shared" si="9"/>
        <v>6</v>
      </c>
      <c r="X37" s="5">
        <f t="shared" si="10"/>
        <v>0</v>
      </c>
      <c r="Y37" s="19">
        <f t="shared" si="11"/>
        <v>6</v>
      </c>
      <c r="Z37" s="26">
        <f t="shared" si="12"/>
        <v>10.5</v>
      </c>
      <c r="AA37" s="27">
        <f t="shared" si="13"/>
        <v>34</v>
      </c>
      <c r="AB37" s="35" t="s">
        <v>56</v>
      </c>
    </row>
    <row r="38" spans="1:31" ht="19">
      <c r="A38" s="35" t="s">
        <v>48</v>
      </c>
      <c r="B38" s="2">
        <v>1</v>
      </c>
      <c r="C38" s="3">
        <v>0</v>
      </c>
      <c r="D38" s="3">
        <v>7</v>
      </c>
      <c r="E38" s="4" t="s">
        <v>11</v>
      </c>
      <c r="F38" s="2">
        <f t="shared" si="17"/>
        <v>3</v>
      </c>
      <c r="G38" s="5">
        <f t="shared" si="18"/>
        <v>3</v>
      </c>
      <c r="H38" s="3">
        <f t="shared" si="19"/>
        <v>0</v>
      </c>
      <c r="I38" s="8">
        <f t="shared" si="3"/>
        <v>3</v>
      </c>
      <c r="J38" s="2">
        <v>0</v>
      </c>
      <c r="K38" s="3">
        <v>0</v>
      </c>
      <c r="L38" s="3">
        <v>8</v>
      </c>
      <c r="M38" s="4" t="s">
        <v>11</v>
      </c>
      <c r="N38" s="2">
        <f t="shared" si="4"/>
        <v>0</v>
      </c>
      <c r="O38" s="5">
        <f t="shared" si="5"/>
        <v>0</v>
      </c>
      <c r="P38" s="3">
        <f t="shared" si="6"/>
        <v>0</v>
      </c>
      <c r="Q38" s="8">
        <f t="shared" si="7"/>
        <v>0</v>
      </c>
      <c r="R38" s="34">
        <v>3</v>
      </c>
      <c r="S38" s="5">
        <v>0</v>
      </c>
      <c r="T38" s="5">
        <v>5</v>
      </c>
      <c r="U38" s="6"/>
      <c r="V38" s="34">
        <f t="shared" si="8"/>
        <v>9</v>
      </c>
      <c r="W38" s="5">
        <f t="shared" si="9"/>
        <v>9</v>
      </c>
      <c r="X38" s="5">
        <f t="shared" si="10"/>
        <v>0</v>
      </c>
      <c r="Y38" s="19">
        <f t="shared" si="11"/>
        <v>9</v>
      </c>
      <c r="Z38" s="26">
        <f t="shared" si="12"/>
        <v>9.9</v>
      </c>
      <c r="AA38" s="27">
        <f t="shared" si="13"/>
        <v>36</v>
      </c>
      <c r="AB38" s="35" t="s">
        <v>48</v>
      </c>
    </row>
    <row r="39" spans="1:31" ht="19">
      <c r="A39" s="35" t="s">
        <v>50</v>
      </c>
      <c r="B39" s="2">
        <v>3</v>
      </c>
      <c r="C39" s="3">
        <v>0</v>
      </c>
      <c r="D39" s="3">
        <v>5</v>
      </c>
      <c r="E39" s="4" t="s">
        <v>11</v>
      </c>
      <c r="F39" s="2">
        <f t="shared" si="17"/>
        <v>9</v>
      </c>
      <c r="G39" s="5">
        <f t="shared" si="18"/>
        <v>9</v>
      </c>
      <c r="H39" s="3">
        <f t="shared" si="19"/>
        <v>0</v>
      </c>
      <c r="I39" s="8">
        <f t="shared" si="3"/>
        <v>9</v>
      </c>
      <c r="J39" s="2">
        <v>2</v>
      </c>
      <c r="K39" s="3">
        <v>0</v>
      </c>
      <c r="L39" s="3">
        <v>6</v>
      </c>
      <c r="M39" s="4" t="s">
        <v>11</v>
      </c>
      <c r="N39" s="2">
        <f t="shared" si="4"/>
        <v>6</v>
      </c>
      <c r="O39" s="5">
        <f t="shared" si="5"/>
        <v>6</v>
      </c>
      <c r="P39" s="3">
        <f t="shared" si="6"/>
        <v>0</v>
      </c>
      <c r="Q39" s="8">
        <f t="shared" si="7"/>
        <v>6</v>
      </c>
      <c r="R39" s="2">
        <v>1</v>
      </c>
      <c r="S39" s="3">
        <v>0</v>
      </c>
      <c r="T39" s="3">
        <v>7</v>
      </c>
      <c r="U39" s="4"/>
      <c r="V39" s="2">
        <f t="shared" si="8"/>
        <v>3</v>
      </c>
      <c r="W39" s="5">
        <f t="shared" si="9"/>
        <v>3</v>
      </c>
      <c r="X39" s="3">
        <f t="shared" si="10"/>
        <v>0</v>
      </c>
      <c r="Y39" s="19">
        <f t="shared" si="11"/>
        <v>3</v>
      </c>
      <c r="Z39" s="26">
        <f t="shared" si="12"/>
        <v>9.2999999999999989</v>
      </c>
      <c r="AA39" s="27">
        <f t="shared" si="13"/>
        <v>37</v>
      </c>
      <c r="AB39" s="35" t="s">
        <v>50</v>
      </c>
    </row>
    <row r="40" spans="1:31" ht="19">
      <c r="A40" s="38" t="s">
        <v>35</v>
      </c>
      <c r="B40" s="3">
        <v>2</v>
      </c>
      <c r="C40" s="3">
        <v>1</v>
      </c>
      <c r="D40" s="3">
        <v>5</v>
      </c>
      <c r="E40" s="4" t="s">
        <v>11</v>
      </c>
      <c r="F40" s="36">
        <f t="shared" si="17"/>
        <v>7</v>
      </c>
      <c r="G40" s="3">
        <f t="shared" si="18"/>
        <v>7</v>
      </c>
      <c r="H40" s="34">
        <f t="shared" si="19"/>
        <v>0</v>
      </c>
      <c r="I40" s="8">
        <f t="shared" si="3"/>
        <v>7</v>
      </c>
      <c r="J40" s="2">
        <v>1</v>
      </c>
      <c r="K40" s="3">
        <v>1</v>
      </c>
      <c r="L40" s="3">
        <v>6</v>
      </c>
      <c r="M40" s="4" t="s">
        <v>11</v>
      </c>
      <c r="N40" s="2">
        <f t="shared" si="4"/>
        <v>4</v>
      </c>
      <c r="O40" s="5">
        <f t="shared" si="5"/>
        <v>4</v>
      </c>
      <c r="P40" s="3">
        <f t="shared" si="6"/>
        <v>0</v>
      </c>
      <c r="Q40" s="8">
        <f t="shared" si="7"/>
        <v>4</v>
      </c>
      <c r="R40" s="2">
        <v>1</v>
      </c>
      <c r="S40" s="3">
        <v>0</v>
      </c>
      <c r="T40" s="3">
        <v>7</v>
      </c>
      <c r="U40" s="4"/>
      <c r="V40" s="2">
        <f t="shared" si="8"/>
        <v>3</v>
      </c>
      <c r="W40" s="5">
        <f t="shared" si="9"/>
        <v>3</v>
      </c>
      <c r="X40" s="3">
        <f t="shared" si="10"/>
        <v>0</v>
      </c>
      <c r="Y40" s="19">
        <f t="shared" si="11"/>
        <v>3</v>
      </c>
      <c r="Z40" s="26">
        <f t="shared" si="12"/>
        <v>7.5</v>
      </c>
      <c r="AA40" s="27">
        <f t="shared" si="13"/>
        <v>38</v>
      </c>
      <c r="AB40" s="35" t="s">
        <v>35</v>
      </c>
    </row>
    <row r="41" spans="1:31" ht="19">
      <c r="A41" s="35" t="s">
        <v>40</v>
      </c>
      <c r="B41" s="2">
        <v>4</v>
      </c>
      <c r="C41" s="3">
        <v>0</v>
      </c>
      <c r="D41" s="3">
        <v>4</v>
      </c>
      <c r="E41" s="4" t="s">
        <v>11</v>
      </c>
      <c r="F41" s="2">
        <f t="shared" si="17"/>
        <v>12</v>
      </c>
      <c r="G41" s="5">
        <f t="shared" si="18"/>
        <v>12</v>
      </c>
      <c r="H41" s="3">
        <f t="shared" si="19"/>
        <v>0</v>
      </c>
      <c r="I41" s="8">
        <f t="shared" si="3"/>
        <v>12</v>
      </c>
      <c r="J41" s="2">
        <v>1</v>
      </c>
      <c r="K41" s="3">
        <v>0</v>
      </c>
      <c r="L41" s="3">
        <v>7</v>
      </c>
      <c r="M41" s="4" t="s">
        <v>11</v>
      </c>
      <c r="N41" s="2">
        <f t="shared" si="4"/>
        <v>3</v>
      </c>
      <c r="O41" s="5">
        <f t="shared" si="5"/>
        <v>3</v>
      </c>
      <c r="P41" s="3">
        <f t="shared" si="6"/>
        <v>0</v>
      </c>
      <c r="Q41" s="8">
        <f t="shared" si="7"/>
        <v>3</v>
      </c>
      <c r="R41" s="2">
        <v>0</v>
      </c>
      <c r="S41" s="3">
        <v>1</v>
      </c>
      <c r="T41" s="3">
        <v>7</v>
      </c>
      <c r="U41" s="4"/>
      <c r="V41" s="2">
        <f t="shared" si="8"/>
        <v>1</v>
      </c>
      <c r="W41" s="5">
        <f t="shared" si="9"/>
        <v>1</v>
      </c>
      <c r="X41" s="3">
        <f t="shared" si="10"/>
        <v>0</v>
      </c>
      <c r="Y41" s="19">
        <f t="shared" si="11"/>
        <v>1</v>
      </c>
      <c r="Z41" s="26">
        <f t="shared" si="12"/>
        <v>6.3999999999999995</v>
      </c>
      <c r="AA41" s="27">
        <f t="shared" si="13"/>
        <v>39</v>
      </c>
      <c r="AB41" s="35" t="s">
        <v>40</v>
      </c>
    </row>
    <row r="42" spans="1:31" ht="20" thickBot="1">
      <c r="A42" s="35" t="s">
        <v>53</v>
      </c>
      <c r="B42" s="2">
        <v>0</v>
      </c>
      <c r="C42" s="3">
        <v>0</v>
      </c>
      <c r="D42" s="3">
        <v>8</v>
      </c>
      <c r="E42" s="4" t="s">
        <v>11</v>
      </c>
      <c r="F42" s="2">
        <f t="shared" si="17"/>
        <v>0</v>
      </c>
      <c r="G42" s="5">
        <f t="shared" si="18"/>
        <v>0</v>
      </c>
      <c r="H42" s="3">
        <f t="shared" si="19"/>
        <v>0</v>
      </c>
      <c r="I42" s="8">
        <f t="shared" si="3"/>
        <v>0</v>
      </c>
      <c r="J42" s="2">
        <v>0</v>
      </c>
      <c r="K42" s="3">
        <v>1</v>
      </c>
      <c r="L42" s="3">
        <v>7</v>
      </c>
      <c r="M42" s="4" t="s">
        <v>11</v>
      </c>
      <c r="N42" s="2">
        <f t="shared" si="4"/>
        <v>1</v>
      </c>
      <c r="O42" s="5">
        <f t="shared" si="5"/>
        <v>1</v>
      </c>
      <c r="P42" s="3">
        <f t="shared" si="6"/>
        <v>0</v>
      </c>
      <c r="Q42" s="8">
        <f t="shared" si="7"/>
        <v>1</v>
      </c>
      <c r="R42" s="2">
        <v>1</v>
      </c>
      <c r="S42" s="3">
        <v>0</v>
      </c>
      <c r="T42" s="3">
        <v>7</v>
      </c>
      <c r="U42" s="4"/>
      <c r="V42" s="2">
        <f t="shared" si="8"/>
        <v>3</v>
      </c>
      <c r="W42" s="5">
        <f t="shared" si="9"/>
        <v>3</v>
      </c>
      <c r="X42" s="3">
        <f t="shared" si="10"/>
        <v>0</v>
      </c>
      <c r="Y42" s="19">
        <f t="shared" si="11"/>
        <v>3</v>
      </c>
      <c r="Z42" s="28">
        <f t="shared" si="12"/>
        <v>3.6</v>
      </c>
      <c r="AA42" s="29">
        <f t="shared" si="13"/>
        <v>40</v>
      </c>
      <c r="AB42" s="35" t="s">
        <v>53</v>
      </c>
    </row>
  </sheetData>
  <autoFilter ref="A2:AA42" xr:uid="{6B4DD791-A7D0-42E0-B21F-85C483FC4FF8}">
    <sortState xmlns:xlrd2="http://schemas.microsoft.com/office/spreadsheetml/2017/richdata2" ref="A3:AA42">
      <sortCondition ref="AA2:AA42"/>
    </sortState>
  </autoFilter>
  <mergeCells count="3">
    <mergeCell ref="B1:I1"/>
    <mergeCell ref="R1:Y1"/>
    <mergeCell ref="J1:Q1"/>
  </mergeCells>
  <phoneticPr fontId="1" type="noConversion"/>
  <conditionalFormatting sqref="A3:A42">
    <cfRule type="duplicateValues" dxfId="1" priority="4"/>
  </conditionalFormatting>
  <conditionalFormatting sqref="AB3:AB4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 파워랭킹 최종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이주환</cp:lastModifiedBy>
  <dcterms:created xsi:type="dcterms:W3CDTF">2023-02-20T11:58:27Z</dcterms:created>
  <dcterms:modified xsi:type="dcterms:W3CDTF">2026-02-27T11:18:28Z</dcterms:modified>
</cp:coreProperties>
</file>