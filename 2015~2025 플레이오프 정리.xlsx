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hwan/Documents/Dev/AUBL/main/"/>
    </mc:Choice>
  </mc:AlternateContent>
  <xr:revisionPtr revIDLastSave="0" documentId="8_{D1412649-D46F-5447-86C3-B958C0651D6B}" xr6:coauthVersionLast="47" xr6:coauthVersionMax="47" xr10:uidLastSave="{00000000-0000-0000-0000-000000000000}"/>
  <bookViews>
    <workbookView xWindow="0" yWindow="500" windowWidth="68800" windowHeight="26800" xr2:uid="{E2F502EA-0A02-428D-8C05-6AE55C3BD63B}"/>
  </bookViews>
  <sheets>
    <sheet name="2004~2025 시즌 결과" sheetId="1" r:id="rId1"/>
    <sheet name="역대 성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2" l="1" a="1"/>
  <c r="AA8" i="2" s="1"/>
  <c r="AA9" i="2" a="1"/>
  <c r="AA9" i="2" s="1"/>
  <c r="AA10" i="2" a="1"/>
  <c r="AA10" i="2" s="1"/>
  <c r="AA11" i="2" a="1"/>
  <c r="AA11" i="2" s="1"/>
  <c r="AA12" i="2" a="1"/>
  <c r="AA12" i="2" s="1"/>
  <c r="AA13" i="2" a="1"/>
  <c r="AA13" i="2" s="1"/>
  <c r="L26" i="2" a="1"/>
  <c r="L26" i="2" s="1"/>
  <c r="W5" i="2" a="1"/>
  <c r="W5" i="2" s="1"/>
  <c r="W6" i="2" a="1"/>
  <c r="W6" i="2" s="1"/>
  <c r="W7" i="2" a="1"/>
  <c r="W7" i="2" s="1"/>
  <c r="W8" i="2" a="1"/>
  <c r="W8" i="2" s="1"/>
  <c r="W9" i="2" a="1"/>
  <c r="W9" i="2" s="1"/>
  <c r="W10" i="2" a="1"/>
  <c r="W10" i="2" s="1"/>
  <c r="W11" i="2" a="1"/>
  <c r="W11" i="2" s="1"/>
  <c r="W12" i="2" a="1"/>
  <c r="W12" i="2" s="1"/>
  <c r="W13" i="2" a="1"/>
  <c r="W13" i="2" s="1"/>
  <c r="W14" i="2" a="1"/>
  <c r="W14" i="2" s="1"/>
  <c r="W15" i="2" a="1"/>
  <c r="W15" i="2" s="1"/>
  <c r="W16" i="2" a="1"/>
  <c r="W16" i="2" s="1"/>
  <c r="W17" i="2" a="1"/>
  <c r="W17" i="2" s="1"/>
  <c r="W18" i="2" a="1"/>
  <c r="W18" i="2" s="1"/>
  <c r="W19" i="2" a="1"/>
  <c r="W19" i="2" s="1"/>
  <c r="W20" i="2" a="1"/>
  <c r="W20" i="2" s="1"/>
  <c r="W21" i="2" a="1"/>
  <c r="W21" i="2" s="1"/>
  <c r="W22" i="2" a="1"/>
  <c r="W22" i="2" s="1"/>
  <c r="W23" i="2" a="1"/>
  <c r="W23" i="2" s="1"/>
  <c r="W26" i="2" a="1"/>
  <c r="W26" i="2" s="1"/>
  <c r="W27" i="2" a="1"/>
  <c r="W27" i="2" s="1"/>
  <c r="W28" i="2" a="1"/>
  <c r="W28" i="2" s="1"/>
  <c r="W29" i="2" a="1"/>
  <c r="W29" i="2" s="1"/>
  <c r="W30" i="2" a="1"/>
  <c r="W30" i="2" s="1"/>
  <c r="W31" i="2" a="1"/>
  <c r="W31" i="2" s="1"/>
  <c r="W32" i="2" a="1"/>
  <c r="W32" i="2" s="1"/>
  <c r="W33" i="2" a="1"/>
  <c r="W33" i="2" s="1"/>
  <c r="W34" i="2" a="1"/>
  <c r="W34" i="2" s="1"/>
  <c r="W37" i="2" a="1"/>
  <c r="W37" i="2" s="1"/>
  <c r="W38" i="2" a="1"/>
  <c r="W38" i="2" s="1"/>
  <c r="W39" i="2" a="1"/>
  <c r="W39" i="2" s="1"/>
  <c r="W40" i="2" a="1"/>
  <c r="W40" i="2" s="1"/>
  <c r="W41" i="2" a="1"/>
  <c r="W41" i="2" s="1"/>
  <c r="W43" i="2" a="1"/>
  <c r="W43" i="2" s="1"/>
  <c r="W44" i="2" a="1"/>
  <c r="W44" i="2" s="1"/>
  <c r="W45" i="2" a="1"/>
  <c r="W45" i="2" s="1"/>
  <c r="W46" i="2" a="1"/>
  <c r="W46" i="2" s="1"/>
  <c r="W47" i="2" a="1"/>
  <c r="W47" i="2" s="1"/>
  <c r="W48" i="2" a="1"/>
  <c r="W48" i="2" s="1"/>
  <c r="W49" i="2" a="1"/>
  <c r="W49" i="2" s="1"/>
  <c r="W50" i="2" a="1"/>
  <c r="W50" i="2" s="1"/>
  <c r="W52" i="2" a="1"/>
  <c r="W52" i="2" s="1"/>
  <c r="W24" i="2" a="1"/>
  <c r="W24" i="2" s="1"/>
  <c r="W36" i="2" a="1"/>
  <c r="W36" i="2" s="1"/>
  <c r="W42" i="2" a="1"/>
  <c r="W42" i="2" s="1"/>
  <c r="W35" i="2" a="1"/>
  <c r="W35" i="2" s="1"/>
  <c r="W25" i="2" a="1"/>
  <c r="W25" i="2" s="1"/>
  <c r="W51" i="2" a="1"/>
  <c r="W51" i="2" s="1"/>
  <c r="W4" i="2" a="1"/>
  <c r="W4" i="2" s="1"/>
  <c r="X5" i="2" a="1"/>
  <c r="X5" i="2" s="1"/>
  <c r="Z4" i="2" a="1"/>
  <c r="Z4" i="2" s="1"/>
  <c r="Z6" i="2" a="1"/>
  <c r="Z6" i="2" s="1"/>
  <c r="Z7" i="2" a="1"/>
  <c r="Z7" i="2" s="1"/>
  <c r="Z8" i="2" a="1"/>
  <c r="Z8" i="2" s="1"/>
  <c r="Z9" i="2" a="1"/>
  <c r="Z9" i="2" s="1"/>
  <c r="Z10" i="2" a="1"/>
  <c r="Z10" i="2" s="1"/>
  <c r="Z11" i="2" a="1"/>
  <c r="Z11" i="2" s="1"/>
  <c r="Z12" i="2" a="1"/>
  <c r="Z12" i="2" s="1"/>
  <c r="Z13" i="2" a="1"/>
  <c r="Z13" i="2" s="1"/>
  <c r="Z14" i="2" a="1"/>
  <c r="Z14" i="2" s="1"/>
  <c r="Z15" i="2" a="1"/>
  <c r="Z15" i="2" s="1"/>
  <c r="Z16" i="2" a="1"/>
  <c r="Z16" i="2" s="1"/>
  <c r="Z17" i="2" a="1"/>
  <c r="Z17" i="2" s="1"/>
  <c r="Z18" i="2" a="1"/>
  <c r="Z18" i="2" s="1"/>
  <c r="Z19" i="2" a="1"/>
  <c r="Z19" i="2" s="1"/>
  <c r="Z20" i="2" a="1"/>
  <c r="Z20" i="2" s="1"/>
  <c r="Z21" i="2" a="1"/>
  <c r="Z21" i="2" s="1"/>
  <c r="Z22" i="2" a="1"/>
  <c r="Z22" i="2" s="1"/>
  <c r="Z23" i="2" a="1"/>
  <c r="Z23" i="2" s="1"/>
  <c r="Z26" i="2" a="1"/>
  <c r="Z26" i="2" s="1"/>
  <c r="Z27" i="2" a="1"/>
  <c r="Z27" i="2" s="1"/>
  <c r="Z28" i="2" a="1"/>
  <c r="Z28" i="2" s="1"/>
  <c r="Z29" i="2" a="1"/>
  <c r="Z29" i="2" s="1"/>
  <c r="Z30" i="2" a="1"/>
  <c r="Z30" i="2" s="1"/>
  <c r="Z31" i="2" a="1"/>
  <c r="Z31" i="2" s="1"/>
  <c r="Z32" i="2" a="1"/>
  <c r="Z32" i="2" s="1"/>
  <c r="Z33" i="2" a="1"/>
  <c r="Z33" i="2" s="1"/>
  <c r="Z34" i="2" a="1"/>
  <c r="Z34" i="2" s="1"/>
  <c r="Z37" i="2" a="1"/>
  <c r="Z37" i="2" s="1"/>
  <c r="Z38" i="2" a="1"/>
  <c r="Z38" i="2" s="1"/>
  <c r="Z39" i="2" a="1"/>
  <c r="Z39" i="2" s="1"/>
  <c r="Z40" i="2" a="1"/>
  <c r="Z40" i="2" s="1"/>
  <c r="Z41" i="2" a="1"/>
  <c r="Z41" i="2" s="1"/>
  <c r="Z43" i="2" a="1"/>
  <c r="Z43" i="2" s="1"/>
  <c r="Z44" i="2" a="1"/>
  <c r="Z44" i="2" s="1"/>
  <c r="Z45" i="2" a="1"/>
  <c r="Z45" i="2" s="1"/>
  <c r="Z46" i="2" a="1"/>
  <c r="Z46" i="2" s="1"/>
  <c r="Z47" i="2" a="1"/>
  <c r="Z47" i="2" s="1"/>
  <c r="Z48" i="2" a="1"/>
  <c r="Z48" i="2" s="1"/>
  <c r="Z49" i="2" a="1"/>
  <c r="Z49" i="2" s="1"/>
  <c r="Z50" i="2" a="1"/>
  <c r="Z50" i="2" s="1"/>
  <c r="Z52" i="2" a="1"/>
  <c r="Z52" i="2" s="1"/>
  <c r="Z24" i="2" a="1"/>
  <c r="Z24" i="2" s="1"/>
  <c r="Z36" i="2" a="1"/>
  <c r="Z36" i="2" s="1"/>
  <c r="Z42" i="2" a="1"/>
  <c r="Z42" i="2" s="1"/>
  <c r="Z35" i="2" a="1"/>
  <c r="Z35" i="2" s="1"/>
  <c r="Z25" i="2" a="1"/>
  <c r="Z25" i="2" s="1"/>
  <c r="Z51" i="2" a="1"/>
  <c r="Z51" i="2" s="1"/>
  <c r="Z5" i="2" a="1"/>
  <c r="Z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2" i="2" a="1"/>
  <c r="M52" i="2" s="1"/>
  <c r="M24" i="2" a="1"/>
  <c r="M24" i="2" s="1"/>
  <c r="M36" i="2" a="1"/>
  <c r="M36" i="2" s="1"/>
  <c r="M42" i="2" a="1"/>
  <c r="M42" i="2" s="1"/>
  <c r="M35" i="2" a="1"/>
  <c r="M35" i="2" s="1"/>
  <c r="M25" i="2" a="1"/>
  <c r="M25" i="2" s="1"/>
  <c r="M51" i="2" a="1"/>
  <c r="M51" i="2" s="1"/>
  <c r="M4" i="2" a="1"/>
  <c r="M4" i="2" s="1"/>
  <c r="M5" i="2" a="1"/>
  <c r="M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7" i="2" a="1"/>
  <c r="L27" i="2" s="1"/>
  <c r="L28" i="2" a="1"/>
  <c r="L28" i="2" s="1"/>
  <c r="L29" i="2" a="1"/>
  <c r="L29" i="2" s="1"/>
  <c r="L30" i="2" a="1"/>
  <c r="L30" i="2" s="1"/>
  <c r="L31" i="2" a="1"/>
  <c r="L31" i="2" s="1"/>
  <c r="L32" i="2" a="1"/>
  <c r="L32" i="2" s="1"/>
  <c r="L33" i="2" a="1"/>
  <c r="L33" i="2" s="1"/>
  <c r="L34" i="2" a="1"/>
  <c r="L34" i="2" s="1"/>
  <c r="L37" i="2" a="1"/>
  <c r="L37" i="2" s="1"/>
  <c r="L38" i="2" a="1"/>
  <c r="L38" i="2" s="1"/>
  <c r="L39" i="2" a="1"/>
  <c r="L39" i="2" s="1"/>
  <c r="L40" i="2" a="1"/>
  <c r="L40" i="2" s="1"/>
  <c r="L41" i="2" a="1"/>
  <c r="L41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2" i="2" a="1"/>
  <c r="L52" i="2" s="1"/>
  <c r="L24" i="2" a="1"/>
  <c r="L24" i="2" s="1"/>
  <c r="L36" i="2" a="1"/>
  <c r="L36" i="2" s="1"/>
  <c r="L42" i="2" a="1"/>
  <c r="L42" i="2" s="1"/>
  <c r="L35" i="2" a="1"/>
  <c r="L35" i="2" s="1"/>
  <c r="L25" i="2" a="1"/>
  <c r="L25" i="2" s="1"/>
  <c r="L51" i="2" a="1"/>
  <c r="L51" i="2" s="1"/>
  <c r="L4" i="2" a="1"/>
  <c r="L4" i="2" s="1"/>
  <c r="L5" i="2" a="1"/>
  <c r="L5" i="2" s="1"/>
  <c r="N6" i="2" a="1"/>
  <c r="N6" i="2" s="1"/>
  <c r="N7" i="2" a="1"/>
  <c r="N7" i="2" s="1"/>
  <c r="N8" i="2" a="1"/>
  <c r="N8" i="2" s="1"/>
  <c r="N9" i="2" a="1"/>
  <c r="N9" i="2" s="1"/>
  <c r="N10" i="2" a="1"/>
  <c r="N10" i="2" s="1"/>
  <c r="N11" i="2" a="1"/>
  <c r="N11" i="2" s="1"/>
  <c r="N12" i="2" a="1"/>
  <c r="N12" i="2" s="1"/>
  <c r="N13" i="2" a="1"/>
  <c r="N13" i="2" s="1"/>
  <c r="N14" i="2" a="1"/>
  <c r="N14" i="2" s="1"/>
  <c r="N15" i="2" a="1"/>
  <c r="N15" i="2" s="1"/>
  <c r="N16" i="2" a="1"/>
  <c r="N16" i="2" s="1"/>
  <c r="N17" i="2" a="1"/>
  <c r="N17" i="2" s="1"/>
  <c r="N18" i="2" a="1"/>
  <c r="N18" i="2" s="1"/>
  <c r="N19" i="2" a="1"/>
  <c r="N19" i="2" s="1"/>
  <c r="N20" i="2" a="1"/>
  <c r="N20" i="2" s="1"/>
  <c r="N21" i="2" a="1"/>
  <c r="N21" i="2" s="1"/>
  <c r="N22" i="2" a="1"/>
  <c r="N22" i="2" s="1"/>
  <c r="N23" i="2" a="1"/>
  <c r="N23" i="2" s="1"/>
  <c r="N26" i="2" a="1"/>
  <c r="N26" i="2" s="1"/>
  <c r="N27" i="2" a="1"/>
  <c r="N27" i="2" s="1"/>
  <c r="N28" i="2" a="1"/>
  <c r="N28" i="2" s="1"/>
  <c r="N29" i="2" a="1"/>
  <c r="N29" i="2" s="1"/>
  <c r="N30" i="2" a="1"/>
  <c r="N30" i="2" s="1"/>
  <c r="N31" i="2" a="1"/>
  <c r="N31" i="2" s="1"/>
  <c r="N32" i="2" a="1"/>
  <c r="N32" i="2" s="1"/>
  <c r="N33" i="2" a="1"/>
  <c r="N33" i="2" s="1"/>
  <c r="N34" i="2" a="1"/>
  <c r="N34" i="2" s="1"/>
  <c r="N37" i="2" a="1"/>
  <c r="N37" i="2" s="1"/>
  <c r="N38" i="2" a="1"/>
  <c r="N38" i="2" s="1"/>
  <c r="N39" i="2" a="1"/>
  <c r="N39" i="2" s="1"/>
  <c r="N40" i="2" a="1"/>
  <c r="N40" i="2" s="1"/>
  <c r="N41" i="2" a="1"/>
  <c r="N41" i="2" s="1"/>
  <c r="N43" i="2" a="1"/>
  <c r="N43" i="2" s="1"/>
  <c r="N44" i="2" a="1"/>
  <c r="N44" i="2" s="1"/>
  <c r="N45" i="2" a="1"/>
  <c r="N45" i="2" s="1"/>
  <c r="N46" i="2" a="1"/>
  <c r="N46" i="2" s="1"/>
  <c r="N47" i="2" a="1"/>
  <c r="N47" i="2" s="1"/>
  <c r="N48" i="2" a="1"/>
  <c r="N48" i="2" s="1"/>
  <c r="N49" i="2" a="1"/>
  <c r="N49" i="2" s="1"/>
  <c r="N50" i="2" a="1"/>
  <c r="N50" i="2" s="1"/>
  <c r="N52" i="2" a="1"/>
  <c r="N52" i="2" s="1"/>
  <c r="N24" i="2" a="1"/>
  <c r="N24" i="2" s="1"/>
  <c r="N36" i="2" a="1"/>
  <c r="N36" i="2" s="1"/>
  <c r="N42" i="2" a="1"/>
  <c r="N42" i="2" s="1"/>
  <c r="N35" i="2" a="1"/>
  <c r="N35" i="2" s="1"/>
  <c r="N25" i="2" a="1"/>
  <c r="N25" i="2" s="1"/>
  <c r="N51" i="2" a="1"/>
  <c r="N51" i="2" s="1"/>
  <c r="N4" i="2" a="1"/>
  <c r="N4" i="2" s="1"/>
  <c r="N5" i="2" a="1"/>
  <c r="N5" i="2" s="1"/>
  <c r="O6" i="2" a="1"/>
  <c r="O6" i="2" s="1"/>
  <c r="O7" i="2" a="1"/>
  <c r="O7" i="2" s="1"/>
  <c r="O8" i="2" a="1"/>
  <c r="O8" i="2" s="1"/>
  <c r="O9" i="2" a="1"/>
  <c r="O9" i="2" s="1"/>
  <c r="O10" i="2" a="1"/>
  <c r="O10" i="2" s="1"/>
  <c r="O11" i="2" a="1"/>
  <c r="O11" i="2" s="1"/>
  <c r="O12" i="2" a="1"/>
  <c r="O12" i="2" s="1"/>
  <c r="O13" i="2" a="1"/>
  <c r="O13" i="2" s="1"/>
  <c r="O14" i="2" a="1"/>
  <c r="O14" i="2" s="1"/>
  <c r="O15" i="2" a="1"/>
  <c r="O15" i="2" s="1"/>
  <c r="O16" i="2" a="1"/>
  <c r="O16" i="2" s="1"/>
  <c r="O17" i="2" a="1"/>
  <c r="O17" i="2" s="1"/>
  <c r="O18" i="2" a="1"/>
  <c r="O18" i="2" s="1"/>
  <c r="O19" i="2" a="1"/>
  <c r="O19" i="2" s="1"/>
  <c r="O20" i="2" a="1"/>
  <c r="O20" i="2" s="1"/>
  <c r="O21" i="2" a="1"/>
  <c r="O21" i="2" s="1"/>
  <c r="O22" i="2" a="1"/>
  <c r="O22" i="2" s="1"/>
  <c r="O23" i="2" a="1"/>
  <c r="O23" i="2" s="1"/>
  <c r="O26" i="2" a="1"/>
  <c r="O26" i="2" s="1"/>
  <c r="O27" i="2" a="1"/>
  <c r="O27" i="2" s="1"/>
  <c r="O28" i="2" a="1"/>
  <c r="O28" i="2" s="1"/>
  <c r="O29" i="2" a="1"/>
  <c r="O29" i="2" s="1"/>
  <c r="O30" i="2" a="1"/>
  <c r="O30" i="2" s="1"/>
  <c r="O31" i="2" a="1"/>
  <c r="O31" i="2" s="1"/>
  <c r="O32" i="2" a="1"/>
  <c r="O32" i="2" s="1"/>
  <c r="O33" i="2" a="1"/>
  <c r="O33" i="2" s="1"/>
  <c r="O34" i="2" a="1"/>
  <c r="O34" i="2" s="1"/>
  <c r="O37" i="2" a="1"/>
  <c r="O37" i="2" s="1"/>
  <c r="O38" i="2" a="1"/>
  <c r="O38" i="2" s="1"/>
  <c r="O39" i="2" a="1"/>
  <c r="O39" i="2" s="1"/>
  <c r="O40" i="2" a="1"/>
  <c r="O40" i="2" s="1"/>
  <c r="O41" i="2" a="1"/>
  <c r="O41" i="2" s="1"/>
  <c r="O43" i="2" a="1"/>
  <c r="O43" i="2" s="1"/>
  <c r="O44" i="2" a="1"/>
  <c r="O44" i="2" s="1"/>
  <c r="O45" i="2" a="1"/>
  <c r="O45" i="2" s="1"/>
  <c r="O46" i="2" a="1"/>
  <c r="O46" i="2" s="1"/>
  <c r="O47" i="2" a="1"/>
  <c r="O47" i="2" s="1"/>
  <c r="O48" i="2" a="1"/>
  <c r="O48" i="2" s="1"/>
  <c r="O49" i="2" a="1"/>
  <c r="O49" i="2" s="1"/>
  <c r="O50" i="2" a="1"/>
  <c r="O50" i="2" s="1"/>
  <c r="O52" i="2" a="1"/>
  <c r="O52" i="2" s="1"/>
  <c r="O24" i="2" a="1"/>
  <c r="O24" i="2" s="1"/>
  <c r="O36" i="2" a="1"/>
  <c r="O36" i="2" s="1"/>
  <c r="O42" i="2" a="1"/>
  <c r="O42" i="2" s="1"/>
  <c r="O35" i="2" a="1"/>
  <c r="O35" i="2" s="1"/>
  <c r="O25" i="2" a="1"/>
  <c r="O25" i="2" s="1"/>
  <c r="O51" i="2" a="1"/>
  <c r="O51" i="2" s="1"/>
  <c r="O4" i="2" a="1"/>
  <c r="O4" i="2" s="1"/>
  <c r="O5" i="2" a="1"/>
  <c r="O5" i="2" s="1"/>
  <c r="P6" i="2" a="1"/>
  <c r="P6" i="2" s="1"/>
  <c r="P7" i="2" a="1"/>
  <c r="P7" i="2" s="1"/>
  <c r="P8" i="2" a="1"/>
  <c r="P8" i="2" s="1"/>
  <c r="P9" i="2" a="1"/>
  <c r="P9" i="2" s="1"/>
  <c r="P10" i="2" a="1"/>
  <c r="P10" i="2" s="1"/>
  <c r="P11" i="2" a="1"/>
  <c r="P11" i="2" s="1"/>
  <c r="P12" i="2" a="1"/>
  <c r="P12" i="2" s="1"/>
  <c r="P13" i="2" a="1"/>
  <c r="P13" i="2" s="1"/>
  <c r="P14" i="2" a="1"/>
  <c r="P14" i="2" s="1"/>
  <c r="P15" i="2" a="1"/>
  <c r="P15" i="2" s="1"/>
  <c r="P16" i="2" a="1"/>
  <c r="P16" i="2" s="1"/>
  <c r="P17" i="2" a="1"/>
  <c r="P17" i="2" s="1"/>
  <c r="P18" i="2" a="1"/>
  <c r="P18" i="2" s="1"/>
  <c r="P19" i="2" a="1"/>
  <c r="P19" i="2" s="1"/>
  <c r="P20" i="2" a="1"/>
  <c r="P20" i="2" s="1"/>
  <c r="P21" i="2" a="1"/>
  <c r="P21" i="2" s="1"/>
  <c r="P22" i="2" a="1"/>
  <c r="P22" i="2" s="1"/>
  <c r="P23" i="2" a="1"/>
  <c r="P23" i="2" s="1"/>
  <c r="P26" i="2" a="1"/>
  <c r="P26" i="2" s="1"/>
  <c r="P27" i="2" a="1"/>
  <c r="P27" i="2" s="1"/>
  <c r="P28" i="2" a="1"/>
  <c r="P28" i="2" s="1"/>
  <c r="P29" i="2" a="1"/>
  <c r="P29" i="2" s="1"/>
  <c r="P30" i="2" a="1"/>
  <c r="P30" i="2" s="1"/>
  <c r="P31" i="2" a="1"/>
  <c r="P31" i="2" s="1"/>
  <c r="P32" i="2" a="1"/>
  <c r="P32" i="2" s="1"/>
  <c r="P33" i="2" a="1"/>
  <c r="P33" i="2" s="1"/>
  <c r="P34" i="2" a="1"/>
  <c r="P34" i="2" s="1"/>
  <c r="P37" i="2" a="1"/>
  <c r="P37" i="2" s="1"/>
  <c r="P38" i="2" a="1"/>
  <c r="P38" i="2" s="1"/>
  <c r="P39" i="2" a="1"/>
  <c r="P39" i="2" s="1"/>
  <c r="P40" i="2" a="1"/>
  <c r="P40" i="2" s="1"/>
  <c r="P41" i="2" a="1"/>
  <c r="P41" i="2" s="1"/>
  <c r="P43" i="2" a="1"/>
  <c r="P43" i="2" s="1"/>
  <c r="P44" i="2" a="1"/>
  <c r="P44" i="2" s="1"/>
  <c r="P45" i="2" a="1"/>
  <c r="P45" i="2" s="1"/>
  <c r="P46" i="2" a="1"/>
  <c r="P46" i="2" s="1"/>
  <c r="P47" i="2" a="1"/>
  <c r="P47" i="2" s="1"/>
  <c r="P48" i="2" a="1"/>
  <c r="P48" i="2" s="1"/>
  <c r="P49" i="2" a="1"/>
  <c r="P49" i="2" s="1"/>
  <c r="P50" i="2" a="1"/>
  <c r="P50" i="2" s="1"/>
  <c r="P52" i="2" a="1"/>
  <c r="P52" i="2" s="1"/>
  <c r="P24" i="2" a="1"/>
  <c r="P24" i="2" s="1"/>
  <c r="P36" i="2" a="1"/>
  <c r="P36" i="2" s="1"/>
  <c r="P42" i="2" a="1"/>
  <c r="P42" i="2" s="1"/>
  <c r="P35" i="2" a="1"/>
  <c r="P35" i="2" s="1"/>
  <c r="P25" i="2" a="1"/>
  <c r="P25" i="2" s="1"/>
  <c r="P51" i="2" a="1"/>
  <c r="P51" i="2" s="1"/>
  <c r="P4" i="2" a="1"/>
  <c r="P4" i="2" s="1"/>
  <c r="P5" i="2" a="1"/>
  <c r="P5" i="2" s="1"/>
  <c r="X6" i="2" a="1"/>
  <c r="X6" i="2" s="1"/>
  <c r="X7" i="2" a="1"/>
  <c r="X7" i="2" s="1"/>
  <c r="X8" i="2" a="1"/>
  <c r="X8" i="2" s="1"/>
  <c r="X9" i="2" a="1"/>
  <c r="X9" i="2" s="1"/>
  <c r="X10" i="2" a="1"/>
  <c r="X10" i="2" s="1"/>
  <c r="X11" i="2" a="1"/>
  <c r="X11" i="2" s="1"/>
  <c r="X12" i="2" a="1"/>
  <c r="X12" i="2" s="1"/>
  <c r="X13" i="2" a="1"/>
  <c r="X13" i="2" s="1"/>
  <c r="X14" i="2" a="1"/>
  <c r="X14" i="2" s="1"/>
  <c r="X15" i="2" a="1"/>
  <c r="X15" i="2" s="1"/>
  <c r="X16" i="2" a="1"/>
  <c r="X16" i="2" s="1"/>
  <c r="X17" i="2" a="1"/>
  <c r="X17" i="2" s="1"/>
  <c r="X18" i="2" a="1"/>
  <c r="X18" i="2" s="1"/>
  <c r="X19" i="2" a="1"/>
  <c r="X19" i="2" s="1"/>
  <c r="X20" i="2" a="1"/>
  <c r="X20" i="2" s="1"/>
  <c r="X21" i="2" a="1"/>
  <c r="X21" i="2" s="1"/>
  <c r="X22" i="2" a="1"/>
  <c r="X22" i="2" s="1"/>
  <c r="X23" i="2" a="1"/>
  <c r="X23" i="2" s="1"/>
  <c r="X26" i="2" a="1"/>
  <c r="X26" i="2" s="1"/>
  <c r="X27" i="2" a="1"/>
  <c r="X27" i="2" s="1"/>
  <c r="X28" i="2" a="1"/>
  <c r="X28" i="2" s="1"/>
  <c r="X29" i="2" a="1"/>
  <c r="X29" i="2" s="1"/>
  <c r="X30" i="2" a="1"/>
  <c r="X30" i="2" s="1"/>
  <c r="X31" i="2" a="1"/>
  <c r="X31" i="2" s="1"/>
  <c r="X32" i="2" a="1"/>
  <c r="X32" i="2" s="1"/>
  <c r="X33" i="2" a="1"/>
  <c r="X33" i="2" s="1"/>
  <c r="X34" i="2" a="1"/>
  <c r="X34" i="2" s="1"/>
  <c r="X37" i="2" a="1"/>
  <c r="X37" i="2" s="1"/>
  <c r="X38" i="2" a="1"/>
  <c r="X38" i="2" s="1"/>
  <c r="X39" i="2" a="1"/>
  <c r="X39" i="2" s="1"/>
  <c r="X40" i="2" a="1"/>
  <c r="X40" i="2" s="1"/>
  <c r="X41" i="2" a="1"/>
  <c r="X41" i="2" s="1"/>
  <c r="X43" i="2" a="1"/>
  <c r="X43" i="2" s="1"/>
  <c r="X44" i="2" a="1"/>
  <c r="X44" i="2" s="1"/>
  <c r="X45" i="2" a="1"/>
  <c r="X45" i="2" s="1"/>
  <c r="X46" i="2" a="1"/>
  <c r="X46" i="2" s="1"/>
  <c r="X47" i="2" a="1"/>
  <c r="X47" i="2" s="1"/>
  <c r="X48" i="2" a="1"/>
  <c r="X48" i="2" s="1"/>
  <c r="X49" i="2" a="1"/>
  <c r="X49" i="2" s="1"/>
  <c r="X50" i="2" a="1"/>
  <c r="X50" i="2" s="1"/>
  <c r="X52" i="2" a="1"/>
  <c r="X52" i="2" s="1"/>
  <c r="X24" i="2" a="1"/>
  <c r="X24" i="2" s="1"/>
  <c r="X36" i="2" a="1"/>
  <c r="X36" i="2" s="1"/>
  <c r="X42" i="2" a="1"/>
  <c r="X42" i="2" s="1"/>
  <c r="X35" i="2" a="1"/>
  <c r="X35" i="2" s="1"/>
  <c r="X25" i="2" a="1"/>
  <c r="X25" i="2" s="1"/>
  <c r="X51" i="2" a="1"/>
  <c r="X51" i="2" s="1"/>
  <c r="X4" i="2" a="1"/>
  <c r="X4" i="2" s="1"/>
  <c r="Y6" i="2" a="1"/>
  <c r="Y6" i="2" s="1"/>
  <c r="Y7" i="2" a="1"/>
  <c r="Y7" i="2" s="1"/>
  <c r="Y8" i="2" a="1"/>
  <c r="Y8" i="2" s="1"/>
  <c r="Y9" i="2" a="1"/>
  <c r="Y9" i="2" s="1"/>
  <c r="Y10" i="2" a="1"/>
  <c r="Y10" i="2" s="1"/>
  <c r="Y11" i="2" a="1"/>
  <c r="Y11" i="2" s="1"/>
  <c r="Y12" i="2" a="1"/>
  <c r="Y12" i="2" s="1"/>
  <c r="Y13" i="2" a="1"/>
  <c r="Y13" i="2" s="1"/>
  <c r="Y14" i="2" a="1"/>
  <c r="Y14" i="2" s="1"/>
  <c r="Y15" i="2" a="1"/>
  <c r="Y15" i="2" s="1"/>
  <c r="Y16" i="2" a="1"/>
  <c r="Y16" i="2" s="1"/>
  <c r="Y17" i="2" a="1"/>
  <c r="Y17" i="2" s="1"/>
  <c r="Y18" i="2" a="1"/>
  <c r="Y18" i="2" s="1"/>
  <c r="Y19" i="2" a="1"/>
  <c r="Y19" i="2" s="1"/>
  <c r="Y20" i="2" a="1"/>
  <c r="Y20" i="2" s="1"/>
  <c r="Y21" i="2" a="1"/>
  <c r="Y21" i="2" s="1"/>
  <c r="Y22" i="2" a="1"/>
  <c r="Y22" i="2" s="1"/>
  <c r="Y23" i="2" a="1"/>
  <c r="Y23" i="2" s="1"/>
  <c r="Y26" i="2" a="1"/>
  <c r="Y26" i="2" s="1"/>
  <c r="Y27" i="2" a="1"/>
  <c r="Y27" i="2" s="1"/>
  <c r="Y28" i="2" a="1"/>
  <c r="Y28" i="2" s="1"/>
  <c r="Y29" i="2" a="1"/>
  <c r="Y29" i="2" s="1"/>
  <c r="Y30" i="2" a="1"/>
  <c r="Y30" i="2" s="1"/>
  <c r="Y31" i="2" a="1"/>
  <c r="Y31" i="2" s="1"/>
  <c r="Y32" i="2" a="1"/>
  <c r="Y32" i="2" s="1"/>
  <c r="Y33" i="2" a="1"/>
  <c r="Y33" i="2" s="1"/>
  <c r="Y34" i="2" a="1"/>
  <c r="Y34" i="2" s="1"/>
  <c r="Y37" i="2" a="1"/>
  <c r="Y37" i="2" s="1"/>
  <c r="Y38" i="2" a="1"/>
  <c r="Y38" i="2" s="1"/>
  <c r="Y39" i="2" a="1"/>
  <c r="Y39" i="2" s="1"/>
  <c r="Y40" i="2" a="1"/>
  <c r="Y40" i="2" s="1"/>
  <c r="Y41" i="2" a="1"/>
  <c r="Y41" i="2" s="1"/>
  <c r="Y43" i="2" a="1"/>
  <c r="Y43" i="2" s="1"/>
  <c r="Y44" i="2" a="1"/>
  <c r="Y44" i="2" s="1"/>
  <c r="Y45" i="2" a="1"/>
  <c r="Y45" i="2" s="1"/>
  <c r="Y46" i="2" a="1"/>
  <c r="Y46" i="2" s="1"/>
  <c r="Y47" i="2" a="1"/>
  <c r="Y47" i="2" s="1"/>
  <c r="Y48" i="2" a="1"/>
  <c r="Y48" i="2" s="1"/>
  <c r="Y49" i="2" a="1"/>
  <c r="Y49" i="2" s="1"/>
  <c r="Y50" i="2" a="1"/>
  <c r="Y50" i="2" s="1"/>
  <c r="Y52" i="2" a="1"/>
  <c r="Y52" i="2" s="1"/>
  <c r="Y24" i="2" a="1"/>
  <c r="Y24" i="2" s="1"/>
  <c r="Y36" i="2" a="1"/>
  <c r="Y36" i="2" s="1"/>
  <c r="Y42" i="2" a="1"/>
  <c r="Y42" i="2" s="1"/>
  <c r="Y35" i="2" a="1"/>
  <c r="Y35" i="2" s="1"/>
  <c r="Y25" i="2" a="1"/>
  <c r="Y25" i="2" s="1"/>
  <c r="Y51" i="2" a="1"/>
  <c r="Y51" i="2" s="1"/>
  <c r="Y4" i="2" a="1"/>
  <c r="Y4" i="2" s="1"/>
  <c r="Y5" i="2" a="1"/>
  <c r="Y5" i="2" s="1"/>
  <c r="AA4" i="2" a="1"/>
  <c r="AA4" i="2" s="1"/>
  <c r="AA51" i="2" a="1"/>
  <c r="AA51" i="2" s="1"/>
  <c r="AA25" i="2" a="1"/>
  <c r="AA25" i="2" s="1"/>
  <c r="AA35" i="2" a="1"/>
  <c r="AA35" i="2" s="1"/>
  <c r="AA42" i="2" a="1"/>
  <c r="AA42" i="2" s="1"/>
  <c r="AA36" i="2" a="1"/>
  <c r="AA36" i="2" s="1"/>
  <c r="AA24" i="2" a="1"/>
  <c r="AA24" i="2" s="1"/>
  <c r="AA52" i="2" a="1"/>
  <c r="AA52" i="2" s="1"/>
  <c r="AA50" i="2" a="1"/>
  <c r="AA50" i="2" s="1"/>
  <c r="AA49" i="2" a="1"/>
  <c r="AA49" i="2" s="1"/>
  <c r="AA48" i="2" a="1"/>
  <c r="AA48" i="2" s="1"/>
  <c r="AA47" i="2" a="1"/>
  <c r="AA47" i="2" s="1"/>
  <c r="AA46" i="2" a="1"/>
  <c r="AA46" i="2" s="1"/>
  <c r="AA45" i="2" a="1"/>
  <c r="AA45" i="2" s="1"/>
  <c r="AA44" i="2" a="1"/>
  <c r="AA44" i="2" s="1"/>
  <c r="AA43" i="2" a="1"/>
  <c r="AA43" i="2" s="1"/>
  <c r="AA41" i="2" a="1"/>
  <c r="AA41" i="2" s="1"/>
  <c r="AA40" i="2" a="1"/>
  <c r="AA40" i="2" s="1"/>
  <c r="AA39" i="2" a="1"/>
  <c r="AA39" i="2" s="1"/>
  <c r="AA38" i="2" a="1"/>
  <c r="AA38" i="2" s="1"/>
  <c r="AA37" i="2" a="1"/>
  <c r="AA37" i="2" s="1"/>
  <c r="AA34" i="2" a="1"/>
  <c r="AA34" i="2" s="1"/>
  <c r="AA33" i="2" a="1"/>
  <c r="AA33" i="2" s="1"/>
  <c r="AA32" i="2" a="1"/>
  <c r="AA32" i="2" s="1"/>
  <c r="AA31" i="2" a="1"/>
  <c r="AA31" i="2" s="1"/>
  <c r="AA30" i="2" a="1"/>
  <c r="AA30" i="2" s="1"/>
  <c r="AA29" i="2" a="1"/>
  <c r="AA29" i="2" s="1"/>
  <c r="AA28" i="2" a="1"/>
  <c r="AA28" i="2" s="1"/>
  <c r="AA27" i="2" a="1"/>
  <c r="AA27" i="2" s="1"/>
  <c r="AA26" i="2" a="1"/>
  <c r="AA26" i="2" s="1"/>
  <c r="AA23" i="2" a="1"/>
  <c r="AA23" i="2" s="1"/>
  <c r="AA22" i="2" a="1"/>
  <c r="AA22" i="2" s="1"/>
  <c r="AA21" i="2" a="1"/>
  <c r="AA21" i="2" s="1"/>
  <c r="AA20" i="2" a="1"/>
  <c r="AA20" i="2" s="1"/>
  <c r="AA19" i="2" a="1"/>
  <c r="AA19" i="2" s="1"/>
  <c r="AA18" i="2" a="1"/>
  <c r="AA18" i="2" s="1"/>
  <c r="AA17" i="2" a="1"/>
  <c r="AA17" i="2" s="1"/>
  <c r="AA16" i="2" a="1"/>
  <c r="AA16" i="2" s="1"/>
  <c r="AA15" i="2" a="1"/>
  <c r="AA15" i="2" s="1"/>
  <c r="AA14" i="2" a="1"/>
  <c r="AA14" i="2" s="1"/>
  <c r="AA7" i="2" a="1"/>
  <c r="AA7" i="2" s="1"/>
  <c r="AA6" i="2" a="1"/>
  <c r="AA6" i="2" s="1"/>
  <c r="AA5" i="2" a="1"/>
  <c r="AA5" i="2" s="1"/>
  <c r="AB21" i="2" a="1"/>
  <c r="AB21" i="2" s="1"/>
  <c r="AB11" i="2" a="1"/>
  <c r="AB11" i="2" s="1"/>
  <c r="AB12" i="2" a="1"/>
  <c r="AB12" i="2" s="1"/>
  <c r="AB13" i="2" a="1"/>
  <c r="AB13" i="2" s="1"/>
  <c r="AB14" i="2" a="1"/>
  <c r="AB14" i="2" s="1"/>
  <c r="AB15" i="2" a="1"/>
  <c r="AB15" i="2" s="1"/>
  <c r="AB16" i="2" a="1"/>
  <c r="AB16" i="2" s="1"/>
  <c r="AB17" i="2" a="1"/>
  <c r="AB17" i="2" s="1"/>
  <c r="AB18" i="2" a="1"/>
  <c r="AB18" i="2" s="1"/>
  <c r="AB19" i="2" a="1"/>
  <c r="AB19" i="2" s="1"/>
  <c r="AB20" i="2" a="1"/>
  <c r="AB20" i="2" s="1"/>
  <c r="AB22" i="2" a="1"/>
  <c r="AB22" i="2" s="1"/>
  <c r="AB23" i="2" a="1"/>
  <c r="AB23" i="2" s="1"/>
  <c r="AB26" i="2" a="1"/>
  <c r="AB26" i="2" s="1"/>
  <c r="AB27" i="2" a="1"/>
  <c r="AB27" i="2" s="1"/>
  <c r="AB28" i="2" a="1"/>
  <c r="AB28" i="2" s="1"/>
  <c r="AB29" i="2" a="1"/>
  <c r="AB29" i="2" s="1"/>
  <c r="AB30" i="2" a="1"/>
  <c r="AB30" i="2" s="1"/>
  <c r="AB31" i="2" a="1"/>
  <c r="AB31" i="2" s="1"/>
  <c r="AB32" i="2" a="1"/>
  <c r="AB32" i="2" s="1"/>
  <c r="AB33" i="2" a="1"/>
  <c r="AB33" i="2" s="1"/>
  <c r="AB34" i="2" a="1"/>
  <c r="AB34" i="2" s="1"/>
  <c r="AB37" i="2" a="1"/>
  <c r="AB37" i="2" s="1"/>
  <c r="AB38" i="2" a="1"/>
  <c r="AB38" i="2" s="1"/>
  <c r="AB39" i="2" a="1"/>
  <c r="AB39" i="2" s="1"/>
  <c r="AB40" i="2" a="1"/>
  <c r="AB40" i="2" s="1"/>
  <c r="AB41" i="2" a="1"/>
  <c r="AB41" i="2" s="1"/>
  <c r="AB43" i="2" a="1"/>
  <c r="AB43" i="2" s="1"/>
  <c r="AB44" i="2" a="1"/>
  <c r="AB44" i="2" s="1"/>
  <c r="AB45" i="2" a="1"/>
  <c r="AB45" i="2" s="1"/>
  <c r="AB46" i="2" a="1"/>
  <c r="AB46" i="2" s="1"/>
  <c r="AB47" i="2" a="1"/>
  <c r="AB47" i="2" s="1"/>
  <c r="AB48" i="2" a="1"/>
  <c r="AB48" i="2" s="1"/>
  <c r="AB49" i="2" a="1"/>
  <c r="AB49" i="2" s="1"/>
  <c r="AB50" i="2" a="1"/>
  <c r="AB50" i="2" s="1"/>
  <c r="AB52" i="2" a="1"/>
  <c r="AB52" i="2" s="1"/>
  <c r="AB24" i="2" a="1"/>
  <c r="AB24" i="2" s="1"/>
  <c r="AB36" i="2" a="1"/>
  <c r="AB36" i="2" s="1"/>
  <c r="AB42" i="2" a="1"/>
  <c r="AB42" i="2" s="1"/>
  <c r="AB35" i="2" a="1"/>
  <c r="AB35" i="2" s="1"/>
  <c r="AB25" i="2" a="1"/>
  <c r="AB25" i="2" s="1"/>
  <c r="AB51" i="2" a="1"/>
  <c r="AB51" i="2" s="1"/>
  <c r="AB4" i="2" a="1"/>
  <c r="AB4" i="2" s="1"/>
  <c r="AB6" i="2" a="1"/>
  <c r="AB6" i="2" s="1"/>
  <c r="AB7" i="2" a="1"/>
  <c r="AB7" i="2" s="1"/>
  <c r="AB8" i="2" a="1"/>
  <c r="AB8" i="2" s="1"/>
  <c r="AB9" i="2" a="1"/>
  <c r="AB9" i="2" s="1"/>
  <c r="AB10" i="2" a="1"/>
  <c r="AB10" i="2" s="1"/>
  <c r="AB5" i="2" a="1"/>
  <c r="AB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<sst xmlns="http://schemas.openxmlformats.org/spreadsheetml/2006/main" count="1087" uniqueCount="203">
  <si>
    <t>가톨릭대</t>
  </si>
  <si>
    <t>강남대</t>
  </si>
  <si>
    <t>건국대글로컬</t>
  </si>
  <si>
    <t>건국대서울</t>
  </si>
  <si>
    <t>경기대</t>
  </si>
  <si>
    <t>경희대국제</t>
  </si>
  <si>
    <t>경희대서울</t>
  </si>
  <si>
    <t>고려대</t>
  </si>
  <si>
    <t>광운대</t>
  </si>
  <si>
    <t>국민대</t>
  </si>
  <si>
    <t>단국대죽전</t>
  </si>
  <si>
    <t>단국대천안</t>
  </si>
  <si>
    <t>동국대</t>
  </si>
  <si>
    <t>명지대서울</t>
  </si>
  <si>
    <t>명지대용인</t>
  </si>
  <si>
    <t>백석대</t>
  </si>
  <si>
    <t>상명대</t>
  </si>
  <si>
    <t>삼육대</t>
  </si>
  <si>
    <t>서강대</t>
  </si>
  <si>
    <t>서울과학기술대</t>
  </si>
  <si>
    <t>서울대</t>
  </si>
  <si>
    <t>서울시립대</t>
  </si>
  <si>
    <t>서울예술대</t>
  </si>
  <si>
    <t>성균관대</t>
  </si>
  <si>
    <t>세종대</t>
  </si>
  <si>
    <t>숭실대</t>
  </si>
  <si>
    <t>아주대</t>
  </si>
  <si>
    <t>연세대</t>
  </si>
  <si>
    <t>인천대</t>
  </si>
  <si>
    <t>인하대</t>
  </si>
  <si>
    <t>중앙대서울</t>
  </si>
  <si>
    <t>중앙대안성</t>
  </si>
  <si>
    <t>한국외국어대글로벌</t>
  </si>
  <si>
    <t>한국외국어대서울</t>
  </si>
  <si>
    <t>한국항공대</t>
  </si>
  <si>
    <t>한성대</t>
  </si>
  <si>
    <t>한세대</t>
  </si>
  <si>
    <t>한신대</t>
  </si>
  <si>
    <t>한양대서울</t>
  </si>
  <si>
    <t>한양대에리카</t>
  </si>
  <si>
    <t>홍익대</t>
  </si>
  <si>
    <t>버금</t>
    <phoneticPr fontId="1" type="noConversion"/>
  </si>
  <si>
    <t>으뜸</t>
    <phoneticPr fontId="1" type="noConversion"/>
  </si>
  <si>
    <t>준우승</t>
    <phoneticPr fontId="1" type="noConversion"/>
  </si>
  <si>
    <t>으뜸우승</t>
    <phoneticPr fontId="1" type="noConversion"/>
  </si>
  <si>
    <t>버금우승</t>
  </si>
  <si>
    <t>버금준우승</t>
    <phoneticPr fontId="1" type="noConversion"/>
  </si>
  <si>
    <t>서경대</t>
    <phoneticPr fontId="1" type="noConversion"/>
  </si>
  <si>
    <t>조별</t>
    <phoneticPr fontId="1" type="noConversion"/>
  </si>
  <si>
    <t>육군사관학교</t>
    <phoneticPr fontId="1" type="noConversion"/>
  </si>
  <si>
    <t>한국교통대</t>
    <phoneticPr fontId="1" type="noConversion"/>
  </si>
  <si>
    <t>용인대</t>
    <phoneticPr fontId="1" type="noConversion"/>
  </si>
  <si>
    <t>서일대</t>
    <phoneticPr fontId="1" type="noConversion"/>
  </si>
  <si>
    <t>한체대</t>
    <phoneticPr fontId="1" type="noConversion"/>
  </si>
  <si>
    <t>버금16강</t>
    <phoneticPr fontId="1" type="noConversion"/>
  </si>
  <si>
    <t>버금8강</t>
    <phoneticPr fontId="1" type="noConversion"/>
  </si>
  <si>
    <t>버금4강</t>
    <phoneticPr fontId="1" type="noConversion"/>
  </si>
  <si>
    <t>-</t>
  </si>
  <si>
    <t>으뜸16강</t>
    <phoneticPr fontId="1" type="noConversion"/>
  </si>
  <si>
    <t>으뜸4강</t>
    <phoneticPr fontId="1" type="noConversion"/>
  </si>
  <si>
    <t>으뜸8강</t>
    <phoneticPr fontId="1" type="noConversion"/>
  </si>
  <si>
    <t>으뜸준우승</t>
    <phoneticPr fontId="1" type="noConversion"/>
  </si>
  <si>
    <t>가천대</t>
    <phoneticPr fontId="1" type="noConversion"/>
  </si>
  <si>
    <t>한국공학대</t>
    <phoneticPr fontId="1" type="noConversion"/>
  </si>
  <si>
    <t>조별*조4위</t>
    <phoneticPr fontId="1" type="noConversion"/>
  </si>
  <si>
    <t>버금8강*조5위</t>
    <phoneticPr fontId="1" type="noConversion"/>
  </si>
  <si>
    <t>불참*코로나</t>
    <phoneticPr fontId="1" type="noConversion"/>
  </si>
  <si>
    <t>2020*코로나</t>
    <phoneticPr fontId="1" type="noConversion"/>
  </si>
  <si>
    <t>*자격정지</t>
    <phoneticPr fontId="1" type="noConversion"/>
  </si>
  <si>
    <t>*탈퇴</t>
    <phoneticPr fontId="1" type="noConversion"/>
  </si>
  <si>
    <t>*가입,탈퇴</t>
    <phoneticPr fontId="1" type="noConversion"/>
  </si>
  <si>
    <t>*탈퇴(몰수패)</t>
    <phoneticPr fontId="1" type="noConversion"/>
  </si>
  <si>
    <t>*재가입</t>
    <phoneticPr fontId="1" type="noConversion"/>
  </si>
  <si>
    <t>우승</t>
    <phoneticPr fontId="1" type="noConversion"/>
  </si>
  <si>
    <r>
      <t>6회</t>
    </r>
    <r>
      <rPr>
        <sz val="6"/>
        <color theme="1"/>
        <rFont val="맑은 고딕"/>
        <family val="3"/>
        <charset val="129"/>
        <scheme val="minor"/>
      </rPr>
      <t>*(1981춘계,1982춘계,1982추계,1983추계,1987춘계,1989추계)</t>
    </r>
    <phoneticPr fontId="1" type="noConversion"/>
  </si>
  <si>
    <r>
      <t>5회</t>
    </r>
    <r>
      <rPr>
        <sz val="6"/>
        <color theme="1"/>
        <rFont val="맑은 고딕"/>
        <family val="3"/>
        <charset val="129"/>
        <scheme val="minor"/>
      </rPr>
      <t>*(1984추계,1984춘계,1989춘계,1997춘계,2019)</t>
    </r>
    <phoneticPr fontId="1" type="noConversion"/>
  </si>
  <si>
    <r>
      <t>2회</t>
    </r>
    <r>
      <rPr>
        <sz val="6"/>
        <color theme="1"/>
        <rFont val="맑은 고딕"/>
        <family val="3"/>
        <charset val="129"/>
        <scheme val="minor"/>
      </rPr>
      <t>*(1988추계,1996추계)</t>
    </r>
    <phoneticPr fontId="1" type="noConversion"/>
  </si>
  <si>
    <r>
      <t>4회</t>
    </r>
    <r>
      <rPr>
        <sz val="6"/>
        <color theme="1"/>
        <rFont val="맑은 고딕"/>
        <family val="3"/>
        <charset val="129"/>
        <scheme val="minor"/>
      </rPr>
      <t>*(1997추계,2004,2008,2024)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</si>
  <si>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(*1991춘계)</t>
    </r>
    <phoneticPr fontId="1" type="noConversion"/>
  </si>
  <si>
    <r>
      <t>2회</t>
    </r>
    <r>
      <rPr>
        <sz val="6"/>
        <color theme="1"/>
        <rFont val="맑은 고딕"/>
        <family val="3"/>
        <charset val="129"/>
        <scheme val="minor"/>
      </rPr>
      <t>*(1991추계,2016)</t>
    </r>
    <phoneticPr fontId="1" type="noConversion"/>
  </si>
  <si>
    <t>팀명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</si>
  <si>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3회</t>
    </r>
    <r>
      <rPr>
        <sz val="6"/>
        <color theme="1"/>
        <rFont val="맑은 고딕"/>
        <family val="3"/>
        <charset val="129"/>
        <scheme val="minor"/>
      </rPr>
      <t>*(1994춘계,2001춘계,2006)</t>
    </r>
    <phoneticPr fontId="1" type="noConversion"/>
  </si>
  <si>
    <r>
      <t>2회</t>
    </r>
    <r>
      <rPr>
        <sz val="6"/>
        <color theme="1"/>
        <rFont val="맑은 고딕"/>
        <family val="3"/>
        <charset val="129"/>
        <scheme val="minor"/>
      </rPr>
      <t>*(1994추계,1995추계)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</si>
  <si>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*(1998추계)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</si>
  <si>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*(1999춘계)</t>
    </r>
    <phoneticPr fontId="1" type="noConversion"/>
  </si>
  <si>
    <r>
      <t>2회</t>
    </r>
    <r>
      <rPr>
        <sz val="6"/>
        <color theme="1"/>
        <rFont val="맑은 고딕"/>
        <family val="3"/>
        <charset val="129"/>
        <scheme val="minor"/>
      </rPr>
      <t>*(1985춘계,1999추계)</t>
    </r>
    <phoneticPr fontId="1" type="noConversion"/>
  </si>
  <si>
    <r>
      <t>5회</t>
    </r>
    <r>
      <rPr>
        <sz val="6"/>
        <color theme="1"/>
        <rFont val="맑은 고딕"/>
        <family val="3"/>
        <charset val="129"/>
        <scheme val="minor"/>
      </rPr>
      <t>*(2000춘계,2000추계,2009,2011,2013)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</si>
  <si>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4회</t>
    </r>
    <r>
      <rPr>
        <sz val="6"/>
        <color theme="1"/>
        <rFont val="맑은 고딕"/>
        <family val="3"/>
        <charset val="129"/>
        <scheme val="minor"/>
      </rPr>
      <t>*(1993춘계,1993추계,1995춘계,1996춘계)</t>
    </r>
    <phoneticPr fontId="1" type="noConversion"/>
  </si>
  <si>
    <r>
      <t>3회</t>
    </r>
    <r>
      <rPr>
        <sz val="6"/>
        <color theme="1"/>
        <rFont val="맑은 고딕"/>
        <family val="3"/>
        <charset val="129"/>
        <scheme val="minor"/>
      </rPr>
      <t>*(2003,2007,2014)</t>
    </r>
    <phoneticPr fontId="1" type="noConversion"/>
  </si>
  <si>
    <r>
      <t>4회</t>
    </r>
    <r>
      <rPr>
        <sz val="6"/>
        <color theme="1"/>
        <rFont val="맑은 고딕"/>
        <family val="3"/>
        <charset val="129"/>
        <scheme val="minor"/>
      </rPr>
      <t>*(2012,2015,2017,2018)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</si>
  <si>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*(2021)</t>
    </r>
    <phoneticPr fontId="1" type="noConversion"/>
  </si>
  <si>
    <r>
      <t>2회</t>
    </r>
    <r>
      <rPr>
        <sz val="6"/>
        <color theme="1"/>
        <rFont val="맑은 고딕"/>
        <family val="3"/>
        <charset val="129"/>
        <scheme val="minor"/>
      </rPr>
      <t>*(2022,2023)</t>
    </r>
    <phoneticPr fontId="1" type="noConversion"/>
  </si>
  <si>
    <r>
      <t>5회</t>
    </r>
    <r>
      <rPr>
        <sz val="6"/>
        <color theme="1"/>
        <rFont val="맑은 고딕"/>
        <family val="3"/>
        <charset val="129"/>
        <scheme val="minor"/>
      </rPr>
      <t>*(1981추계,1983춘계,1984춘계,1990추계,1992춘계)</t>
    </r>
    <phoneticPr fontId="1" type="noConversion"/>
  </si>
  <si>
    <r>
      <t>2회</t>
    </r>
    <r>
      <rPr>
        <sz val="6"/>
        <color theme="1"/>
        <rFont val="맑은 고딕"/>
        <family val="3"/>
        <charset val="129"/>
        <scheme val="minor"/>
      </rPr>
      <t>*(1983추계,1996추계)</t>
    </r>
    <phoneticPr fontId="1" type="noConversion"/>
  </si>
  <si>
    <r>
      <t>5회</t>
    </r>
    <r>
      <rPr>
        <sz val="6"/>
        <color theme="1"/>
        <rFont val="맑은 고딕"/>
        <family val="3"/>
        <charset val="129"/>
        <scheme val="minor"/>
      </rPr>
      <t>*(1984추계,1997춘계,2012,2013,2023)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</si>
  <si>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*(1985춘계)</t>
    </r>
    <phoneticPr fontId="1" type="noConversion"/>
  </si>
  <si>
    <r>
      <t>2회</t>
    </r>
    <r>
      <rPr>
        <sz val="6"/>
        <color theme="1"/>
        <rFont val="맑은 고딕"/>
        <family val="3"/>
        <charset val="129"/>
        <scheme val="minor"/>
      </rPr>
      <t>*(1986춘계,1994춘계)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</si>
  <si>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*(1987추계)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</si>
  <si>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2회</t>
    </r>
    <r>
      <rPr>
        <sz val="6"/>
        <color theme="1"/>
        <rFont val="맑은 고딕"/>
        <family val="3"/>
        <charset val="129"/>
        <scheme val="minor"/>
      </rPr>
      <t>*(1988춘계,2002)</t>
    </r>
    <phoneticPr fontId="1" type="noConversion"/>
  </si>
  <si>
    <r>
      <t>2회</t>
    </r>
    <r>
      <rPr>
        <sz val="6"/>
        <color theme="1"/>
        <rFont val="맑은 고딕"/>
        <family val="3"/>
        <charset val="129"/>
        <scheme val="minor"/>
      </rPr>
      <t>*(1988추계,1996춘계)</t>
    </r>
    <phoneticPr fontId="1" type="noConversion"/>
  </si>
  <si>
    <r>
      <t>6회</t>
    </r>
    <r>
      <rPr>
        <sz val="6"/>
        <color theme="1"/>
        <rFont val="맑은 고딕"/>
        <family val="3"/>
        <charset val="129"/>
        <scheme val="minor"/>
      </rPr>
      <t>*(1989춘계,1993춘계,1994추계,1995춘계,1997추계,1999춘계)</t>
    </r>
    <phoneticPr fontId="1" type="noConversion"/>
  </si>
  <si>
    <r>
      <t>4회</t>
    </r>
    <r>
      <rPr>
        <sz val="6"/>
        <color theme="1"/>
        <rFont val="맑은 고딕"/>
        <family val="3"/>
        <charset val="129"/>
        <scheme val="minor"/>
      </rPr>
      <t>*(1989추계,1991춘계,1998추계,2022)</t>
    </r>
    <phoneticPr fontId="1" type="noConversion"/>
  </si>
  <si>
    <r>
      <t>3회</t>
    </r>
    <r>
      <rPr>
        <sz val="6"/>
        <color theme="1"/>
        <rFont val="맑은 고딕"/>
        <family val="3"/>
        <charset val="129"/>
        <scheme val="minor"/>
      </rPr>
      <t>*(2009,2015,2016)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</si>
  <si>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*(1993추계)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</si>
  <si>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*(1998춘계)-캠퍼스명시X</t>
    </r>
    <phoneticPr fontId="1" type="noConversion"/>
  </si>
  <si>
    <r>
      <t>3회</t>
    </r>
    <r>
      <rPr>
        <sz val="6"/>
        <color theme="1"/>
        <rFont val="맑은 고딕"/>
        <family val="3"/>
        <charset val="129"/>
        <scheme val="minor"/>
      </rPr>
      <t>*(1995추계,2006,2024)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</si>
  <si>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(*2000추계)</t>
    </r>
    <phoneticPr fontId="1" type="noConversion"/>
  </si>
  <si>
    <r>
      <t>3회</t>
    </r>
    <r>
      <rPr>
        <sz val="6"/>
        <color theme="1"/>
        <rFont val="맑은 고딕"/>
        <family val="3"/>
        <charset val="129"/>
        <scheme val="minor"/>
      </rPr>
      <t>*(2001추계,2003,2004)</t>
    </r>
    <phoneticPr fontId="1" type="noConversion"/>
  </si>
  <si>
    <r>
      <t>3회</t>
    </r>
    <r>
      <rPr>
        <sz val="6"/>
        <color theme="1"/>
        <rFont val="맑은 고딕"/>
        <family val="3"/>
        <charset val="129"/>
        <scheme val="minor"/>
      </rPr>
      <t>*(2008,2011,2014)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</si>
  <si>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*(2017)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</si>
  <si>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*(2007)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</si>
  <si>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*(2010)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</si>
  <si>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*(2019)</t>
    </r>
    <phoneticPr fontId="1" type="noConversion"/>
  </si>
  <si>
    <t>버금 우승</t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</si>
  <si>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*(2016)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</si>
  <si>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*(2011)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</si>
  <si>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*(2013)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</si>
  <si>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*(2024)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</si>
  <si>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*(2022)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</si>
  <si>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*(2015)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</si>
  <si>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*(2012)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</si>
  <si>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*(2018)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</si>
  <si>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*(2023)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</si>
  <si>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*(2006)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</si>
  <si>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*(2005)</t>
    </r>
    <phoneticPr fontId="1" type="noConversion"/>
  </si>
  <si>
    <t>버금32강</t>
    <phoneticPr fontId="1" type="noConversion"/>
  </si>
  <si>
    <t xml:space="preserve">서울대 </t>
    <phoneticPr fontId="1" type="noConversion"/>
  </si>
  <si>
    <t>*탈퇴한팀 - 명지대(용인) - 몰수패 심의(2024 탈퇴) / 삼육대-2012 탈퇴 예상 / 서울대-2013 탈퇴 예상 / 서울예술대-2006 탈퇴 예상 / 중앙대(안성)- 몰수패 심의 예상 (2017 탈퇴) / 한세대 -  2014 탈퇴 예상 / 육군사관학교 - 2016 탈퇴 예상 / 서일대 - 2020 탈퇴 예상 / 용인대 - 2023 탈퇴</t>
    <phoneticPr fontId="1" type="noConversion"/>
  </si>
  <si>
    <t>-</t>
    <phoneticPr fontId="1" type="noConversion"/>
  </si>
  <si>
    <t>*불참</t>
    <phoneticPr fontId="1" type="noConversion"/>
  </si>
  <si>
    <r>
      <t>8회</t>
    </r>
    <r>
      <rPr>
        <sz val="6"/>
        <color rgb="FF006100"/>
        <rFont val="맑은 고딕"/>
        <family val="3"/>
        <charset val="129"/>
        <scheme val="minor"/>
      </rPr>
      <t>*(1987추계,1988춘계,1990추계,1998춘계,2001추계,2002,2005,2010)</t>
    </r>
    <phoneticPr fontId="1" type="noConversion"/>
  </si>
  <si>
    <r>
      <t>8회</t>
    </r>
    <r>
      <rPr>
        <sz val="6"/>
        <color rgb="FF006100"/>
        <rFont val="맑은 고딕"/>
        <family val="3"/>
        <charset val="129"/>
        <scheme val="minor"/>
      </rPr>
      <t>*(1981추계,1983춘계,1985추계,1986춘계,1986추계,1990춘계,1992춘계,1992추계)</t>
    </r>
    <phoneticPr fontId="1" type="noConversion"/>
  </si>
  <si>
    <r>
      <t>7회</t>
    </r>
    <r>
      <rPr>
        <sz val="6"/>
        <color rgb="FF006100"/>
        <rFont val="맑은 고딕"/>
        <family val="3"/>
        <charset val="129"/>
        <scheme val="minor"/>
      </rPr>
      <t>*(1986추계,1991추계,1992추계,1999추계,2000춘계,2005,2018)</t>
    </r>
    <phoneticPr fontId="1" type="noConversion"/>
  </si>
  <si>
    <r>
      <t>7회</t>
    </r>
    <r>
      <rPr>
        <sz val="6"/>
        <color rgb="FF006100"/>
        <rFont val="맑은 고딕"/>
        <family val="3"/>
        <charset val="129"/>
        <scheme val="minor"/>
      </rPr>
      <t>*(1982춘계,1982춘계,1982추계,1985추계,1987춘계,1990춘계,2001춘계</t>
    </r>
    <r>
      <rPr>
        <sz val="11"/>
        <color rgb="FF006100"/>
        <rFont val="맑은 고딕"/>
        <family val="3"/>
        <charset val="129"/>
        <scheme val="minor"/>
      </rPr>
      <t>)</t>
    </r>
    <phoneticPr fontId="1" type="noConversion"/>
  </si>
  <si>
    <r>
      <t>2회</t>
    </r>
    <r>
      <rPr>
        <sz val="6"/>
        <color rgb="FF006100"/>
        <rFont val="맑은 고딕"/>
        <family val="3"/>
        <charset val="129"/>
        <scheme val="minor"/>
      </rPr>
      <t>*(2005,2006)</t>
    </r>
    <phoneticPr fontId="1" type="noConversion"/>
  </si>
  <si>
    <r>
      <t>2회</t>
    </r>
    <r>
      <rPr>
        <sz val="6"/>
        <color rgb="FF006100"/>
        <rFont val="맑은 고딕"/>
        <family val="3"/>
        <charset val="129"/>
        <scheme val="minor"/>
      </rPr>
      <t>*(2014,2017)</t>
    </r>
    <phoneticPr fontId="1" type="noConversion"/>
  </si>
  <si>
    <r>
      <t>2회</t>
    </r>
    <r>
      <rPr>
        <sz val="6"/>
        <color rgb="FF006100"/>
        <rFont val="맑은 고딕"/>
        <family val="3"/>
        <charset val="129"/>
        <scheme val="minor"/>
      </rPr>
      <t>*(2008,2019)</t>
    </r>
    <phoneticPr fontId="1" type="noConversion"/>
  </si>
  <si>
    <r>
      <t>2회</t>
    </r>
    <r>
      <rPr>
        <sz val="6"/>
        <color rgb="FF006100"/>
        <rFont val="맑은 고딕"/>
        <family val="3"/>
        <charset val="129"/>
        <scheme val="minor"/>
      </rPr>
      <t>*(2021,2022)</t>
    </r>
    <phoneticPr fontId="1" type="noConversion"/>
  </si>
  <si>
    <r>
      <t>2회</t>
    </r>
    <r>
      <rPr>
        <sz val="6"/>
        <color rgb="FF006100"/>
        <rFont val="맑은 고딕"/>
        <family val="3"/>
        <charset val="129"/>
        <scheme val="minor"/>
      </rPr>
      <t>*(2008,2014)</t>
    </r>
    <phoneticPr fontId="1" type="noConversion"/>
  </si>
  <si>
    <t>비고</t>
    <phoneticPr fontId="1" type="noConversion"/>
  </si>
  <si>
    <t>*(2004,2005,2007 버금)</t>
    <phoneticPr fontId="1" type="noConversion"/>
  </si>
  <si>
    <t>*(2004,2007 으뜸)</t>
  </si>
  <si>
    <t>*(2004,2007 버금)</t>
    <phoneticPr fontId="1" type="noConversion"/>
  </si>
  <si>
    <t>*(2004 으뜸, 2007 버금)</t>
    <phoneticPr fontId="1" type="noConversion"/>
  </si>
  <si>
    <t>*(2004 버금, 2007 으뜸)</t>
    <phoneticPr fontId="1" type="noConversion"/>
  </si>
  <si>
    <t>*(2007 으뜸)</t>
  </si>
  <si>
    <t>*(2004 으뜸) / *탈퇴</t>
    <phoneticPr fontId="1" type="noConversion"/>
  </si>
  <si>
    <t>*(2004,2007 으뜸) / *탈퇴</t>
    <phoneticPr fontId="1" type="noConversion"/>
  </si>
  <si>
    <t>*(2004 버금) / *탈퇴</t>
    <phoneticPr fontId="1" type="noConversion"/>
  </si>
  <si>
    <t>으뜸 4강 진행중</t>
    <phoneticPr fontId="1" type="noConversion"/>
  </si>
  <si>
    <r>
      <t xml:space="preserve">*(2004 버금, 2007 으뜸) / </t>
    </r>
    <r>
      <rPr>
        <b/>
        <sz val="11"/>
        <color theme="1"/>
        <rFont val="맑은 고딕"/>
        <family val="3"/>
        <charset val="129"/>
        <scheme val="minor"/>
      </rPr>
      <t>으뜸 4강 진행중</t>
    </r>
    <phoneticPr fontId="1" type="noConversion"/>
  </si>
  <si>
    <r>
      <t>*(2004 으뜸) /</t>
    </r>
    <r>
      <rPr>
        <b/>
        <sz val="11"/>
        <color theme="1"/>
        <rFont val="맑은 고딕"/>
        <family val="3"/>
        <charset val="129"/>
        <scheme val="minor"/>
      </rPr>
      <t xml:space="preserve"> 으뜸 4강 진행중</t>
    </r>
    <phoneticPr fontId="1" type="noConversion"/>
  </si>
  <si>
    <r>
      <t xml:space="preserve">*(2004 으뜸) / </t>
    </r>
    <r>
      <rPr>
        <b/>
        <sz val="11"/>
        <color theme="1"/>
        <rFont val="맑은 고딕"/>
        <family val="3"/>
        <charset val="129"/>
        <scheme val="minor"/>
      </rPr>
      <t>으뜸 4강 진행중</t>
    </r>
    <phoneticPr fontId="1" type="noConversion"/>
  </si>
  <si>
    <r>
      <t xml:space="preserve">*(2004 버금, 2007 으뜸) / </t>
    </r>
    <r>
      <rPr>
        <b/>
        <sz val="11"/>
        <color theme="1"/>
        <rFont val="맑은 고딕"/>
        <family val="3"/>
        <charset val="129"/>
        <scheme val="minor"/>
      </rPr>
      <t>버금 4강 진행중</t>
    </r>
    <phoneticPr fontId="1" type="noConversion"/>
  </si>
  <si>
    <r>
      <t xml:space="preserve">*(2004,2007 으뜸)  / </t>
    </r>
    <r>
      <rPr>
        <b/>
        <sz val="11"/>
        <color theme="1"/>
        <rFont val="맑은 고딕"/>
        <family val="3"/>
        <charset val="129"/>
        <scheme val="minor"/>
      </rPr>
      <t>버금 4강 진행중</t>
    </r>
    <phoneticPr fontId="1" type="noConversion"/>
  </si>
  <si>
    <r>
      <t xml:space="preserve">*(전 한국산업기술대)  / </t>
    </r>
    <r>
      <rPr>
        <b/>
        <sz val="11"/>
        <color theme="1"/>
        <rFont val="맑은 고딕"/>
        <family val="3"/>
        <charset val="129"/>
        <scheme val="minor"/>
      </rPr>
      <t>버금 4강 진행중</t>
    </r>
    <phoneticPr fontId="1" type="noConversion"/>
  </si>
  <si>
    <r>
      <rPr>
        <sz val="9"/>
        <color theme="1"/>
        <rFont val="맑은 고딕"/>
        <family val="3"/>
        <charset val="129"/>
        <scheme val="minor"/>
      </rPr>
      <t xml:space="preserve">*(2004 으뜸, 2005,2007 버금)  / </t>
    </r>
    <r>
      <rPr>
        <b/>
        <sz val="9"/>
        <color theme="1"/>
        <rFont val="맑은 고딕"/>
        <family val="3"/>
        <charset val="129"/>
        <scheme val="minor"/>
      </rPr>
      <t>버금 4강 진행중</t>
    </r>
    <phoneticPr fontId="1" type="noConversion"/>
  </si>
  <si>
    <t>*(2004 버금, 2007 으뜸) / 2009년 버금 우승팀 확인불가
 (결승 대진 상명대vs한양대에리카로 추정)</t>
    <phoneticPr fontId="1" type="noConversion"/>
  </si>
  <si>
    <t>*(2007 버금) / 2009년 버금 우승팀 확인불가
 (결승 대진 상명대vs한양대에리카로 추정)</t>
    <phoneticPr fontId="1" type="noConversion"/>
  </si>
  <si>
    <t xml:space="preserve">*최다 우승팀 - 동국대,한국외대(서울) (8회)
*최다 준우승팀 - 건국대(서울), 성균관대 (7회)
*으뜸 최다 우승팀 - 서울과학기술대 (4회)
*으뜸 최다 준우승팀 - 경희대(국제), 숭실대, 중앙대(서울) (3회)
*으뜸 최다 진츨팀 - 경희대(국제) (21회)
*으뜸 버금 모두 우승한 팀 - 경기대, 동국대, 서울과기대, 한양대(서울) </t>
    <phoneticPr fontId="1" type="noConversion"/>
  </si>
  <si>
    <t>&lt;춘계리그&gt;</t>
  </si>
  <si>
    <t>&lt;추계리그&gt;</t>
  </si>
  <si>
    <t>우승</t>
  </si>
  <si>
    <t>준우승</t>
  </si>
  <si>
    <t>경희대</t>
  </si>
  <si>
    <t>한국외국어대서울</t>
    <phoneticPr fontId="1" type="noConversion"/>
  </si>
  <si>
    <t>&lt;단일리그&gt;</t>
  </si>
  <si>
    <t>&lt;으뜸 토너먼트&gt;</t>
    <phoneticPr fontId="1" type="noConversion"/>
  </si>
  <si>
    <r>
      <t>*1981년~2001년 춘계 추계 / 2002~2003 단일리그 / 2004~ 으뜸 버금 도입 / 2004,2007년 으뜸 우승 준우승팀만 확인가능/ 2009년 버금 우승팀 확인불가</t>
    </r>
    <r>
      <rPr>
        <sz val="8"/>
        <color theme="1"/>
        <rFont val="맑은 고딕"/>
        <family val="3"/>
        <charset val="129"/>
        <scheme val="minor"/>
      </rPr>
      <t xml:space="preserve"> (결승 대진 상명대vs한양대에리카로 추정)</t>
    </r>
    <r>
      <rPr>
        <sz val="11"/>
        <color theme="1"/>
        <rFont val="맑은 고딕"/>
        <family val="2"/>
        <charset val="129"/>
        <scheme val="minor"/>
      </rPr>
      <t xml:space="preserve"> / 4강,8강,16강 횟수는 시즌 마무리 기준(중복X)</t>
    </r>
    <phoneticPr fontId="1" type="noConversion"/>
  </si>
  <si>
    <r>
      <t>1회</t>
    </r>
    <r>
      <rPr>
        <sz val="6"/>
        <color theme="1"/>
        <rFont val="맑은 고딕"/>
        <family val="3"/>
        <charset val="129"/>
        <scheme val="minor"/>
      </rPr>
      <t>(*2025)</t>
    </r>
    <phoneticPr fontId="1" type="noConversion"/>
  </si>
  <si>
    <r>
      <t>2회</t>
    </r>
    <r>
      <rPr>
        <sz val="6"/>
        <color theme="1"/>
        <rFont val="맑은 고딕"/>
        <family val="3"/>
        <charset val="129"/>
        <scheme val="minor"/>
      </rPr>
      <t>*(2010,2025)</t>
    </r>
    <phoneticPr fontId="1" type="noConversion"/>
  </si>
  <si>
    <t>*버금 최다 우승팀 - 인하대, 한국공학대, 한성대 (3회)
*버금 최다 준우승팀 - 고려대, 광운대, 한국외대(글로벌) (2회)
*최다 버금 진출팀 - 한국외대(글로벌), 한성대, 한신대 (16회)
*으뜸 미진출팀(현재 참가교) - 가톨릭대 ,강남대, 서경대
*버금 미진출팀(현재 참가교) - 경희대(국제)</t>
    <phoneticPr fontId="1" type="noConversion"/>
  </si>
  <si>
    <t>연세대</t>
    <phoneticPr fontId="1" type="noConversion"/>
  </si>
  <si>
    <t>서울과학기술대</t>
    <phoneticPr fontId="1" type="noConversion"/>
  </si>
  <si>
    <t>경기대</t>
    <phoneticPr fontId="1" type="noConversion"/>
  </si>
  <si>
    <t>세종대</t>
    <phoneticPr fontId="1" type="noConversion"/>
  </si>
  <si>
    <t>코로나19 대회 취소</t>
    <phoneticPr fontId="1" type="noConversion"/>
  </si>
  <si>
    <t>한양대서울</t>
    <phoneticPr fontId="1" type="noConversion"/>
  </si>
  <si>
    <t>홍익대</t>
    <phoneticPr fontId="1" type="noConversion"/>
  </si>
  <si>
    <t>서울시립대</t>
    <phoneticPr fontId="1" type="noConversion"/>
  </si>
  <si>
    <t>국민대</t>
    <phoneticPr fontId="1" type="noConversion"/>
  </si>
  <si>
    <t>&lt;버금 토너먼트&gt;</t>
    <phoneticPr fontId="1" type="noConversion"/>
  </si>
  <si>
    <t>한성대</t>
    <phoneticPr fontId="1" type="noConversion"/>
  </si>
  <si>
    <t>인하대</t>
    <phoneticPr fontId="1" type="noConversion"/>
  </si>
  <si>
    <t>광운대</t>
    <phoneticPr fontId="1" type="noConversion"/>
  </si>
  <si>
    <t>숭실대</t>
    <phoneticPr fontId="1" type="noConversion"/>
  </si>
  <si>
    <t>상명대 OR  한양대 에리카</t>
    <phoneticPr fontId="1" type="noConversion"/>
  </si>
  <si>
    <t>서강대</t>
    <phoneticPr fontId="1" type="noConversion"/>
  </si>
  <si>
    <t>인천대</t>
    <phoneticPr fontId="1" type="noConversion"/>
  </si>
  <si>
    <t>고려대</t>
    <phoneticPr fontId="1" type="noConversion"/>
  </si>
  <si>
    <t>아주대</t>
    <phoneticPr fontId="1" type="noConversion"/>
  </si>
  <si>
    <t>강남대</t>
    <phoneticPr fontId="1" type="noConversion"/>
  </si>
  <si>
    <t>중앙대서울</t>
    <phoneticPr fontId="1" type="noConversion"/>
  </si>
  <si>
    <t>항공대</t>
    <phoneticPr fontId="1" type="noConversion"/>
  </si>
  <si>
    <t>동국대</t>
    <phoneticPr fontId="1" type="noConversion"/>
  </si>
  <si>
    <t>경희대서울</t>
    <phoneticPr fontId="1" type="noConversion"/>
  </si>
  <si>
    <t>한국외국어대글로벌</t>
    <phoneticPr fontId="1" type="noConversion"/>
  </si>
  <si>
    <t>단국대죽전</t>
    <phoneticPr fontId="1" type="noConversion"/>
  </si>
  <si>
    <t>명지대서울</t>
    <phoneticPr fontId="1" type="noConversion"/>
  </si>
  <si>
    <t>한국산업기술대(공학대)</t>
    <phoneticPr fontId="1" type="noConversion"/>
  </si>
  <si>
    <t>*으뜸4강</t>
    <phoneticPr fontId="1" type="noConversion"/>
  </si>
  <si>
    <t>*으뜸16강</t>
    <phoneticPr fontId="1" type="noConversion"/>
  </si>
  <si>
    <t>*으뜸8강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</si>
</sst>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&quot;₩&quot;* #,##0_-;\-&quot;₩&quot;* #,##0_-;_-&quot;₩&quot;* &quot;-&quot;_-;_-@_-"/>
    <numFmt numFmtId="177" formatCode="0&quot;회&quot;;;\ &quot;-&quot;"/>
    <numFmt numFmtId="178" formatCode="0&quot;회&quot;;;\ &quot;-&quot;\ 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나눔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6"/>
      <color rgb="FF0061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8"/>
      <color rgb="FF0061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b/>
      <sz val="8"/>
      <color rgb="FF006100"/>
      <name val="맑은 고딕"/>
      <family val="3"/>
      <charset val="129"/>
      <scheme val="major"/>
    </font>
    <font>
      <b/>
      <sz val="8"/>
      <color rgb="FF9C0006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  <font>
      <b/>
      <sz val="8"/>
      <color rgb="FF9C57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2"/>
      <charset val="129"/>
    </font>
    <font>
      <sz val="9"/>
      <color theme="1"/>
      <name val="나눔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1" applyNumberFormat="0" applyFont="0" applyAlignment="0" applyProtection="0">
      <alignment vertical="center"/>
    </xf>
  </cellStyleXfs>
  <cellXfs count="1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0" fontId="4" fillId="7" borderId="4" xfId="0" quotePrefix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4" fillId="0" borderId="4" xfId="0" quotePrefix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5" fillId="4" borderId="4" xfId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3" fillId="4" borderId="4" xfId="1" applyFont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quotePrefix="1" applyFont="1" applyFill="1" applyBorder="1" applyAlignment="1">
      <alignment horizontal="center" vertical="center"/>
    </xf>
    <xf numFmtId="0" fontId="4" fillId="7" borderId="6" xfId="0" quotePrefix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3" borderId="7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3" borderId="10" xfId="0" applyFont="1" applyFill="1" applyBorder="1" applyAlignment="1">
      <alignment horizontal="right" vertical="center"/>
    </xf>
    <xf numFmtId="178" fontId="0" fillId="3" borderId="9" xfId="0" quotePrefix="1" applyNumberFormat="1" applyFill="1" applyBorder="1" applyAlignment="1">
      <alignment horizontal="center" vertical="center"/>
    </xf>
    <xf numFmtId="178" fontId="0" fillId="3" borderId="9" xfId="0" applyNumberForma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4" fillId="8" borderId="4" xfId="4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18" fillId="10" borderId="1" xfId="5" applyFont="1" applyAlignment="1">
      <alignment horizontal="center" vertical="center"/>
    </xf>
    <xf numFmtId="0" fontId="16" fillId="12" borderId="4" xfId="3" applyFont="1" applyFill="1" applyBorder="1" applyAlignment="1">
      <alignment horizontal="center" vertical="center"/>
    </xf>
    <xf numFmtId="0" fontId="13" fillId="4" borderId="7" xfId="1" applyFont="1" applyBorder="1" applyAlignment="1">
      <alignment horizontal="center" vertical="center"/>
    </xf>
    <xf numFmtId="178" fontId="0" fillId="3" borderId="13" xfId="0" quotePrefix="1" applyNumberFormat="1" applyFill="1" applyBorder="1" applyAlignment="1">
      <alignment horizontal="center" vertical="center"/>
    </xf>
    <xf numFmtId="178" fontId="0" fillId="0" borderId="11" xfId="0" quotePrefix="1" applyNumberFormat="1" applyBorder="1" applyAlignment="1">
      <alignment horizontal="center" vertical="center"/>
    </xf>
    <xf numFmtId="178" fontId="0" fillId="3" borderId="11" xfId="0" quotePrefix="1" applyNumberFormat="1" applyFill="1" applyBorder="1" applyAlignment="1">
      <alignment horizontal="center" vertical="center"/>
    </xf>
    <xf numFmtId="178" fontId="7" fillId="4" borderId="11" xfId="1" quotePrefix="1" applyNumberFormat="1" applyBorder="1" applyAlignment="1">
      <alignment horizontal="center" vertical="center"/>
    </xf>
    <xf numFmtId="177" fontId="0" fillId="3" borderId="13" xfId="0" applyNumberFormat="1" applyFill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7" fontId="0" fillId="3" borderId="11" xfId="0" applyNumberFormat="1" applyFill="1" applyBorder="1" applyAlignment="1">
      <alignment horizontal="center" vertical="center"/>
    </xf>
    <xf numFmtId="177" fontId="7" fillId="4" borderId="11" xfId="1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178" fontId="0" fillId="3" borderId="2" xfId="0" quotePrefix="1" applyNumberFormat="1" applyFill="1" applyBorder="1" applyAlignment="1">
      <alignment horizontal="center" vertical="center"/>
    </xf>
    <xf numFmtId="178" fontId="0" fillId="3" borderId="12" xfId="0" quotePrefix="1" applyNumberFormat="1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7" fontId="0" fillId="3" borderId="12" xfId="0" applyNumberForma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" fillId="3" borderId="0" xfId="0" applyFont="1" applyFill="1" applyAlignment="1">
      <alignment horizontal="right" vertical="center"/>
    </xf>
    <xf numFmtId="178" fontId="0" fillId="3" borderId="0" xfId="0" quotePrefix="1" applyNumberFormat="1" applyFill="1" applyAlignment="1">
      <alignment horizontal="center" vertical="center"/>
    </xf>
    <xf numFmtId="178" fontId="0" fillId="3" borderId="0" xfId="0" applyNumberForma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8" fontId="0" fillId="3" borderId="16" xfId="0" quotePrefix="1" applyNumberForma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2" fillId="2" borderId="0" xfId="0" applyFont="1" applyFill="1" applyAlignment="1">
      <alignment horizontal="right" vertical="center"/>
    </xf>
    <xf numFmtId="178" fontId="0" fillId="0" borderId="0" xfId="0" quotePrefix="1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7" fillId="4" borderId="0" xfId="1" quotePrefix="1" applyNumberFormat="1" applyBorder="1" applyAlignment="1">
      <alignment horizontal="center" vertical="center"/>
    </xf>
    <xf numFmtId="178" fontId="7" fillId="4" borderId="0" xfId="1" applyNumberForma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78" fontId="7" fillId="0" borderId="0" xfId="1" quotePrefix="1" applyNumberFormat="1" applyFill="1" applyBorder="1" applyAlignment="1">
      <alignment horizontal="center" vertical="center"/>
    </xf>
    <xf numFmtId="0" fontId="22" fillId="0" borderId="9" xfId="0" applyFont="1" applyBorder="1">
      <alignment vertical="center"/>
    </xf>
    <xf numFmtId="0" fontId="22" fillId="0" borderId="16" xfId="0" applyFont="1" applyBorder="1">
      <alignment vertical="center"/>
    </xf>
    <xf numFmtId="0" fontId="22" fillId="0" borderId="11" xfId="0" applyFont="1" applyBorder="1">
      <alignment vertical="center"/>
    </xf>
    <xf numFmtId="0" fontId="22" fillId="0" borderId="19" xfId="0" applyFont="1" applyBorder="1">
      <alignment vertical="center"/>
    </xf>
    <xf numFmtId="0" fontId="22" fillId="0" borderId="12" xfId="0" applyFont="1" applyBorder="1">
      <alignment vertical="center"/>
    </xf>
    <xf numFmtId="0" fontId="22" fillId="0" borderId="15" xfId="0" applyFont="1" applyBorder="1">
      <alignment vertical="center"/>
    </xf>
    <xf numFmtId="0" fontId="22" fillId="0" borderId="18" xfId="0" applyFont="1" applyBorder="1">
      <alignment vertical="center"/>
    </xf>
    <xf numFmtId="0" fontId="22" fillId="3" borderId="11" xfId="0" applyFont="1" applyFill="1" applyBorder="1">
      <alignment vertical="center"/>
    </xf>
    <xf numFmtId="0" fontId="22" fillId="3" borderId="16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20" xfId="0" applyBorder="1">
      <alignment vertical="center"/>
    </xf>
    <xf numFmtId="0" fontId="0" fillId="0" borderId="17" xfId="0" applyBorder="1">
      <alignment vertical="center"/>
    </xf>
    <xf numFmtId="0" fontId="22" fillId="0" borderId="0" xfId="0" applyFont="1">
      <alignment vertical="center"/>
    </xf>
    <xf numFmtId="0" fontId="22" fillId="0" borderId="14" xfId="0" applyFont="1" applyBorder="1">
      <alignment vertical="center"/>
    </xf>
    <xf numFmtId="0" fontId="22" fillId="0" borderId="21" xfId="0" applyFont="1" applyBorder="1">
      <alignment vertical="center"/>
    </xf>
    <xf numFmtId="0" fontId="22" fillId="0" borderId="22" xfId="0" applyFont="1" applyBorder="1">
      <alignment vertical="center"/>
    </xf>
    <xf numFmtId="0" fontId="23" fillId="0" borderId="11" xfId="0" applyFont="1" applyBorder="1">
      <alignment vertical="center"/>
    </xf>
    <xf numFmtId="0" fontId="23" fillId="0" borderId="12" xfId="0" applyFont="1" applyBorder="1">
      <alignment vertical="center"/>
    </xf>
    <xf numFmtId="0" fontId="23" fillId="0" borderId="0" xfId="0" applyFont="1">
      <alignment vertical="center"/>
    </xf>
    <xf numFmtId="0" fontId="22" fillId="0" borderId="16" xfId="0" quotePrefix="1" applyFont="1" applyBorder="1">
      <alignment vertical="center"/>
    </xf>
    <xf numFmtId="0" fontId="22" fillId="0" borderId="11" xfId="0" quotePrefix="1" applyFont="1" applyBorder="1">
      <alignment vertical="center"/>
    </xf>
    <xf numFmtId="0" fontId="23" fillId="0" borderId="19" xfId="0" applyFont="1" applyBorder="1">
      <alignment vertical="center"/>
    </xf>
    <xf numFmtId="0" fontId="24" fillId="0" borderId="16" xfId="0" applyFont="1" applyBorder="1">
      <alignment vertical="center"/>
    </xf>
    <xf numFmtId="0" fontId="0" fillId="0" borderId="0" xfId="0" quotePrefix="1" applyAlignment="1">
      <alignment horizontal="center" vertical="center"/>
    </xf>
    <xf numFmtId="0" fontId="8" fillId="0" borderId="0" xfId="2" applyAlignment="1">
      <alignment horizontal="left" vertical="center"/>
    </xf>
    <xf numFmtId="0" fontId="22" fillId="0" borderId="1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3" borderId="2" xfId="0" quotePrefix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3" borderId="16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5" fillId="0" borderId="16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7" fillId="4" borderId="0" xfId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4" borderId="11" xfId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3" borderId="11" xfId="0" quotePrefix="1" applyFill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</cellXfs>
  <cellStyles count="6">
    <cellStyle name="60% - 강조색1" xfId="4" builtinId="32"/>
    <cellStyle name="나쁨" xfId="3" builtinId="27"/>
    <cellStyle name="메모" xfId="5" builtinId="10"/>
    <cellStyle name="좋음" xfId="1" builtinId="26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ameone.kr/league/board/view?lig_idx=972&amp;board_idx=6399&amp;page=6&amp;post_idx=770674" TargetMode="External"/><Relationship Id="rId13" Type="http://schemas.openxmlformats.org/officeDocument/2006/relationships/hyperlink" Target="https://www.gameone.kr/league/board/view?lig_idx=972&amp;board_idx=6399&amp;page=10&amp;post_idx=599370" TargetMode="External"/><Relationship Id="rId18" Type="http://schemas.openxmlformats.org/officeDocument/2006/relationships/hyperlink" Target="https://www.gameone.kr/league/board/view?lig_idx=972&amp;board_idx=6399&amp;page=6&amp;post_idx=770735" TargetMode="External"/><Relationship Id="rId3" Type="http://schemas.openxmlformats.org/officeDocument/2006/relationships/hyperlink" Target="https://www.gameone.kr/league/board/view?lig_idx=972&amp;board_idx=6407&amp;search_method=T&amp;page=1&amp;post_idx=705930" TargetMode="External"/><Relationship Id="rId7" Type="http://schemas.openxmlformats.org/officeDocument/2006/relationships/hyperlink" Target="https://www.gameone.kr/league/board/view?lig_idx=972&amp;board_idx=6399&amp;page=5&amp;post_idx=809633" TargetMode="External"/><Relationship Id="rId12" Type="http://schemas.openxmlformats.org/officeDocument/2006/relationships/hyperlink" Target="https://www.gameone.kr/league/board/view?lig_idx=972&amp;board_idx=6399&amp;page=10&amp;post_idx=600321" TargetMode="External"/><Relationship Id="rId17" Type="http://schemas.openxmlformats.org/officeDocument/2006/relationships/hyperlink" Target="https://www.gameone.kr/league/board/view?lig_idx=972&amp;board_idx=6399&amp;page=13&amp;post_idx=472093" TargetMode="External"/><Relationship Id="rId2" Type="http://schemas.openxmlformats.org/officeDocument/2006/relationships/hyperlink" Target="https://www.gameone.kr/league/board/view?lig_idx=972&amp;board_idx=6407&amp;search_method=T&amp;page=1&amp;post_idx=705931" TargetMode="External"/><Relationship Id="rId16" Type="http://schemas.openxmlformats.org/officeDocument/2006/relationships/hyperlink" Target="https://www.gameone.kr/league/board/view?lig_idx=972&amp;board_idx=6399&amp;page=15&amp;post_idx=404195" TargetMode="External"/><Relationship Id="rId1" Type="http://schemas.openxmlformats.org/officeDocument/2006/relationships/hyperlink" Target="https://www.gameone.kr/league/board/view?lig_idx=972&amp;board_idx=6407&amp;search_method=T&amp;page=1&amp;post_idx=648167" TargetMode="External"/><Relationship Id="rId6" Type="http://schemas.openxmlformats.org/officeDocument/2006/relationships/hyperlink" Target="https://www.instagram.com/p/DFooW0ih0k8/?utm_source=ig_web_copy_link&amp;igsh=MzRlODBiNWFlZA==" TargetMode="External"/><Relationship Id="rId11" Type="http://schemas.openxmlformats.org/officeDocument/2006/relationships/hyperlink" Target="https://www.gameone.kr/league/board/view?lig_idx=972&amp;board_idx=6399&amp;page=8&amp;post_idx=672746" TargetMode="External"/><Relationship Id="rId5" Type="http://schemas.openxmlformats.org/officeDocument/2006/relationships/hyperlink" Target="https://www.instagram.com/p/CocSjXqLQ9X/?utm_source=ig_web_copy_link&amp;igsh=NTc4MTIwNjQ2YQ==" TargetMode="External"/><Relationship Id="rId15" Type="http://schemas.openxmlformats.org/officeDocument/2006/relationships/hyperlink" Target="https://www.gameone.kr/league/board/view?lig_idx=972&amp;board_idx=6399&amp;page=12&amp;post_idx=528680" TargetMode="External"/><Relationship Id="rId10" Type="http://schemas.openxmlformats.org/officeDocument/2006/relationships/hyperlink" Target="https://www.gameone.kr/league/board/view?lig_idx=972&amp;board_idx=6399&amp;page=9&amp;post_idx=655104" TargetMode="External"/><Relationship Id="rId4" Type="http://schemas.openxmlformats.org/officeDocument/2006/relationships/hyperlink" Target="https://www.gameone.kr/league/board/view?lig_idx=972&amp;board_idx=6407&amp;search_method=T&amp;page=1&amp;post_idx=758721" TargetMode="External"/><Relationship Id="rId9" Type="http://schemas.openxmlformats.org/officeDocument/2006/relationships/hyperlink" Target="https://www.gameone.kr/league/board/view?lig_idx=972&amp;board_idx=6399&amp;page=7&amp;post_idx=709160" TargetMode="External"/><Relationship Id="rId14" Type="http://schemas.openxmlformats.org/officeDocument/2006/relationships/hyperlink" Target="https://www.gameone.kr/league/board/view?lig_idx=972&amp;board_idx=6399&amp;page=12&amp;post_idx=54039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0317-239E-47FB-AF07-7B68D6CE2F19}">
  <dimension ref="A1:U76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5" sqref="N5"/>
    </sheetView>
  </sheetViews>
  <sheetFormatPr baseColWidth="10" defaultColWidth="8.83203125" defaultRowHeight="17"/>
  <cols>
    <col min="2" max="2" width="8.83203125" style="1"/>
    <col min="18" max="21" width="16.33203125" customWidth="1"/>
  </cols>
  <sheetData>
    <row r="1" spans="1:21" ht="18" thickBot="1">
      <c r="B1" s="22">
        <v>2015</v>
      </c>
      <c r="C1" s="22">
        <v>2016</v>
      </c>
      <c r="D1" s="22">
        <v>2017</v>
      </c>
      <c r="E1" s="22">
        <v>2018</v>
      </c>
      <c r="F1" s="22">
        <v>2019</v>
      </c>
      <c r="G1" s="23" t="s">
        <v>67</v>
      </c>
      <c r="H1" s="22">
        <v>2021</v>
      </c>
      <c r="I1" s="22">
        <v>2022</v>
      </c>
      <c r="J1" s="22">
        <v>2023</v>
      </c>
      <c r="K1" s="24">
        <v>2024</v>
      </c>
      <c r="L1" s="22">
        <v>2025</v>
      </c>
    </row>
    <row r="2" spans="1:21" ht="18" thickBot="1">
      <c r="A2" s="2" t="s">
        <v>62</v>
      </c>
      <c r="B2" s="3" t="s">
        <v>128</v>
      </c>
      <c r="C2" s="3" t="s">
        <v>128</v>
      </c>
      <c r="D2" s="5" t="s">
        <v>70</v>
      </c>
      <c r="E2" s="3" t="s">
        <v>128</v>
      </c>
      <c r="F2" s="4" t="s">
        <v>55</v>
      </c>
      <c r="G2" s="8" t="s">
        <v>128</v>
      </c>
      <c r="H2" s="4" t="s">
        <v>48</v>
      </c>
      <c r="I2" s="9" t="s">
        <v>60</v>
      </c>
      <c r="J2" s="9" t="s">
        <v>58</v>
      </c>
      <c r="K2" s="6" t="s">
        <v>55</v>
      </c>
      <c r="L2" s="9" t="s">
        <v>58</v>
      </c>
      <c r="Q2" s="80"/>
      <c r="R2" s="69" t="s">
        <v>160</v>
      </c>
      <c r="S2" s="78"/>
      <c r="T2" s="69" t="s">
        <v>161</v>
      </c>
      <c r="U2" s="78"/>
    </row>
    <row r="3" spans="1:21" ht="18" thickBot="1">
      <c r="A3" s="25" t="s">
        <v>0</v>
      </c>
      <c r="B3" s="19" t="s">
        <v>54</v>
      </c>
      <c r="C3" s="19" t="s">
        <v>54</v>
      </c>
      <c r="D3" s="19" t="s">
        <v>55</v>
      </c>
      <c r="E3" s="19" t="s">
        <v>54</v>
      </c>
      <c r="F3" s="19" t="s">
        <v>48</v>
      </c>
      <c r="G3" s="20" t="s">
        <v>128</v>
      </c>
      <c r="H3" s="19" t="s">
        <v>55</v>
      </c>
      <c r="I3" s="19" t="s">
        <v>54</v>
      </c>
      <c r="J3" s="19" t="s">
        <v>48</v>
      </c>
      <c r="K3" s="21" t="s">
        <v>48</v>
      </c>
      <c r="L3" s="19" t="s">
        <v>54</v>
      </c>
      <c r="Q3" s="79"/>
      <c r="R3" s="75" t="s">
        <v>162</v>
      </c>
      <c r="S3" s="74" t="s">
        <v>163</v>
      </c>
      <c r="T3" s="75" t="s">
        <v>162</v>
      </c>
      <c r="U3" s="74" t="s">
        <v>163</v>
      </c>
    </row>
    <row r="4" spans="1:21" ht="18" thickBot="1">
      <c r="A4" s="2" t="s">
        <v>1</v>
      </c>
      <c r="B4" s="4" t="s">
        <v>48</v>
      </c>
      <c r="C4" s="36" t="s">
        <v>45</v>
      </c>
      <c r="D4" s="4" t="s">
        <v>54</v>
      </c>
      <c r="E4" s="4" t="s">
        <v>54</v>
      </c>
      <c r="F4" s="5" t="s">
        <v>69</v>
      </c>
      <c r="G4" s="3" t="s">
        <v>128</v>
      </c>
      <c r="H4" s="3" t="s">
        <v>128</v>
      </c>
      <c r="I4" s="3" t="s">
        <v>128</v>
      </c>
      <c r="J4" s="3" t="s">
        <v>128</v>
      </c>
      <c r="K4" s="6" t="s">
        <v>48</v>
      </c>
      <c r="L4" s="4" t="s">
        <v>54</v>
      </c>
      <c r="Q4" s="70">
        <v>1981</v>
      </c>
      <c r="R4" s="70" t="s">
        <v>10</v>
      </c>
      <c r="S4" s="71" t="s">
        <v>23</v>
      </c>
      <c r="T4" s="70" t="s">
        <v>33</v>
      </c>
      <c r="U4" s="71" t="s">
        <v>10</v>
      </c>
    </row>
    <row r="5" spans="1:21" ht="18" thickBot="1">
      <c r="A5" s="7" t="s">
        <v>2</v>
      </c>
      <c r="B5" s="4" t="s">
        <v>48</v>
      </c>
      <c r="C5" s="4" t="s">
        <v>48</v>
      </c>
      <c r="D5" s="4" t="s">
        <v>48</v>
      </c>
      <c r="E5" s="4" t="s">
        <v>48</v>
      </c>
      <c r="F5" s="4" t="s">
        <v>48</v>
      </c>
      <c r="G5" s="8" t="s">
        <v>128</v>
      </c>
      <c r="H5" s="4" t="s">
        <v>54</v>
      </c>
      <c r="I5" s="9" t="s">
        <v>58</v>
      </c>
      <c r="J5" s="9" t="s">
        <v>58</v>
      </c>
      <c r="K5" s="6" t="s">
        <v>54</v>
      </c>
      <c r="L5" s="4" t="s">
        <v>55</v>
      </c>
      <c r="Q5" s="77">
        <v>1982</v>
      </c>
      <c r="R5" s="77" t="s">
        <v>10</v>
      </c>
      <c r="S5" s="76" t="s">
        <v>23</v>
      </c>
      <c r="T5" s="77" t="s">
        <v>10</v>
      </c>
      <c r="U5" s="76" t="s">
        <v>23</v>
      </c>
    </row>
    <row r="6" spans="1:21" ht="18" thickBot="1">
      <c r="A6" s="2" t="s">
        <v>3</v>
      </c>
      <c r="B6" s="9" t="s">
        <v>59</v>
      </c>
      <c r="C6" s="9" t="s">
        <v>58</v>
      </c>
      <c r="D6" s="9" t="s">
        <v>59</v>
      </c>
      <c r="E6" s="33" t="s">
        <v>61</v>
      </c>
      <c r="F6" s="9" t="s">
        <v>59</v>
      </c>
      <c r="G6" s="8" t="s">
        <v>128</v>
      </c>
      <c r="H6" s="9" t="s">
        <v>58</v>
      </c>
      <c r="I6" s="9" t="s">
        <v>58</v>
      </c>
      <c r="J6" s="9" t="s">
        <v>58</v>
      </c>
      <c r="K6" s="11" t="s">
        <v>58</v>
      </c>
      <c r="L6" s="9" t="s">
        <v>60</v>
      </c>
      <c r="Q6" s="70">
        <v>1983</v>
      </c>
      <c r="R6" s="70" t="s">
        <v>33</v>
      </c>
      <c r="S6" s="71" t="s">
        <v>10</v>
      </c>
      <c r="T6" s="70" t="s">
        <v>10</v>
      </c>
      <c r="U6" s="71" t="s">
        <v>40</v>
      </c>
    </row>
    <row r="7" spans="1:21" ht="18" thickBot="1">
      <c r="A7" s="7" t="s">
        <v>4</v>
      </c>
      <c r="B7" s="4" t="s">
        <v>55</v>
      </c>
      <c r="C7" s="9" t="s">
        <v>60</v>
      </c>
      <c r="D7" s="4" t="s">
        <v>54</v>
      </c>
      <c r="E7" s="9" t="s">
        <v>58</v>
      </c>
      <c r="F7" s="33" t="s">
        <v>61</v>
      </c>
      <c r="G7" s="8" t="s">
        <v>128</v>
      </c>
      <c r="H7" s="12" t="s">
        <v>44</v>
      </c>
      <c r="I7" s="9" t="s">
        <v>202</v>
      </c>
      <c r="J7" s="4" t="s">
        <v>54</v>
      </c>
      <c r="K7" s="11" t="s">
        <v>58</v>
      </c>
      <c r="L7" s="9" t="s">
        <v>58</v>
      </c>
      <c r="Q7" s="77">
        <v>1984</v>
      </c>
      <c r="R7" s="77" t="s">
        <v>23</v>
      </c>
      <c r="S7" s="76" t="s">
        <v>10</v>
      </c>
      <c r="T7" s="77" t="s">
        <v>23</v>
      </c>
      <c r="U7" s="76" t="s">
        <v>25</v>
      </c>
    </row>
    <row r="8" spans="1:21" ht="18" thickBot="1">
      <c r="A8" s="2" t="s">
        <v>5</v>
      </c>
      <c r="B8" s="33" t="s">
        <v>61</v>
      </c>
      <c r="C8" s="33" t="s">
        <v>61</v>
      </c>
      <c r="D8" s="9" t="s">
        <v>58</v>
      </c>
      <c r="E8" s="9" t="s">
        <v>58</v>
      </c>
      <c r="F8" s="9" t="s">
        <v>60</v>
      </c>
      <c r="G8" s="8" t="s">
        <v>128</v>
      </c>
      <c r="H8" s="9" t="s">
        <v>59</v>
      </c>
      <c r="I8" s="9" t="s">
        <v>60</v>
      </c>
      <c r="J8" s="9" t="s">
        <v>60</v>
      </c>
      <c r="K8" s="11" t="s">
        <v>58</v>
      </c>
      <c r="L8" s="9" t="s">
        <v>59</v>
      </c>
      <c r="Q8" s="70">
        <v>1985</v>
      </c>
      <c r="R8" s="70" t="s">
        <v>29</v>
      </c>
      <c r="S8" s="71" t="s">
        <v>32</v>
      </c>
      <c r="T8" s="70" t="s">
        <v>33</v>
      </c>
      <c r="U8" s="71" t="s">
        <v>23</v>
      </c>
    </row>
    <row r="9" spans="1:21" ht="18" thickBot="1">
      <c r="A9" s="7" t="s">
        <v>6</v>
      </c>
      <c r="B9" s="9" t="s">
        <v>58</v>
      </c>
      <c r="C9" s="9" t="s">
        <v>59</v>
      </c>
      <c r="D9" s="4" t="s">
        <v>56</v>
      </c>
      <c r="E9" s="4" t="s">
        <v>54</v>
      </c>
      <c r="F9" s="9" t="s">
        <v>58</v>
      </c>
      <c r="G9" s="8" t="s">
        <v>128</v>
      </c>
      <c r="H9" s="4" t="s">
        <v>54</v>
      </c>
      <c r="I9" s="4" t="s">
        <v>54</v>
      </c>
      <c r="J9" s="9" t="s">
        <v>59</v>
      </c>
      <c r="K9" s="11" t="s">
        <v>59</v>
      </c>
      <c r="L9" s="36" t="s">
        <v>45</v>
      </c>
      <c r="Q9" s="77">
        <v>1986</v>
      </c>
      <c r="R9" s="77" t="s">
        <v>33</v>
      </c>
      <c r="S9" s="76" t="s">
        <v>26</v>
      </c>
      <c r="T9" s="77" t="s">
        <v>33</v>
      </c>
      <c r="U9" s="76" t="s">
        <v>3</v>
      </c>
    </row>
    <row r="10" spans="1:21" ht="18" thickBot="1">
      <c r="A10" s="2" t="s">
        <v>7</v>
      </c>
      <c r="B10" s="9" t="s">
        <v>58</v>
      </c>
      <c r="C10" s="4" t="s">
        <v>54</v>
      </c>
      <c r="D10" s="4" t="s">
        <v>54</v>
      </c>
      <c r="E10" s="9" t="s">
        <v>60</v>
      </c>
      <c r="F10" s="4" t="s">
        <v>55</v>
      </c>
      <c r="G10" s="8" t="s">
        <v>128</v>
      </c>
      <c r="H10" s="35" t="s">
        <v>46</v>
      </c>
      <c r="I10" s="35" t="s">
        <v>46</v>
      </c>
      <c r="J10" s="9" t="s">
        <v>60</v>
      </c>
      <c r="K10" s="11" t="s">
        <v>59</v>
      </c>
      <c r="L10" s="9" t="s">
        <v>58</v>
      </c>
      <c r="Q10" s="70">
        <v>1987</v>
      </c>
      <c r="R10" s="70" t="s">
        <v>10</v>
      </c>
      <c r="S10" s="71" t="s">
        <v>23</v>
      </c>
      <c r="T10" s="70" t="s">
        <v>12</v>
      </c>
      <c r="U10" s="71" t="s">
        <v>7</v>
      </c>
    </row>
    <row r="11" spans="1:21" ht="18" thickBot="1">
      <c r="A11" s="7" t="s">
        <v>8</v>
      </c>
      <c r="B11" s="4" t="s">
        <v>54</v>
      </c>
      <c r="C11" s="4" t="s">
        <v>55</v>
      </c>
      <c r="D11" s="9" t="s">
        <v>58</v>
      </c>
      <c r="E11" s="4" t="s">
        <v>54</v>
      </c>
      <c r="F11" s="4" t="s">
        <v>56</v>
      </c>
      <c r="G11" s="8" t="s">
        <v>128</v>
      </c>
      <c r="H11" s="4" t="s">
        <v>56</v>
      </c>
      <c r="I11" s="4" t="s">
        <v>48</v>
      </c>
      <c r="J11" s="4" t="s">
        <v>48</v>
      </c>
      <c r="K11" s="6" t="s">
        <v>48</v>
      </c>
      <c r="L11" s="4" t="s">
        <v>48</v>
      </c>
      <c r="Q11" s="77">
        <v>1988</v>
      </c>
      <c r="R11" s="77" t="s">
        <v>12</v>
      </c>
      <c r="S11" s="76" t="s">
        <v>29</v>
      </c>
      <c r="T11" s="77" t="s">
        <v>7</v>
      </c>
      <c r="U11" s="76" t="s">
        <v>18</v>
      </c>
    </row>
    <row r="12" spans="1:21" ht="16.75" customHeight="1" thickBot="1">
      <c r="A12" s="2" t="s">
        <v>9</v>
      </c>
      <c r="B12" s="4" t="s">
        <v>54</v>
      </c>
      <c r="C12" s="4" t="s">
        <v>54</v>
      </c>
      <c r="D12" s="9" t="s">
        <v>60</v>
      </c>
      <c r="E12" s="4" t="s">
        <v>48</v>
      </c>
      <c r="F12" s="4" t="s">
        <v>54</v>
      </c>
      <c r="G12" s="8" t="s">
        <v>128</v>
      </c>
      <c r="H12" s="9" t="s">
        <v>59</v>
      </c>
      <c r="I12" s="4" t="s">
        <v>54</v>
      </c>
      <c r="J12" s="4" t="s">
        <v>56</v>
      </c>
      <c r="K12" s="33" t="s">
        <v>61</v>
      </c>
      <c r="L12" s="4" t="s">
        <v>54</v>
      </c>
      <c r="Q12" s="70">
        <v>1989</v>
      </c>
      <c r="R12" s="70" t="s">
        <v>23</v>
      </c>
      <c r="S12" s="71" t="s">
        <v>12</v>
      </c>
      <c r="T12" s="70" t="s">
        <v>10</v>
      </c>
      <c r="U12" s="71" t="s">
        <v>33</v>
      </c>
    </row>
    <row r="13" spans="1:21" ht="18" thickBot="1">
      <c r="A13" s="7" t="s">
        <v>10</v>
      </c>
      <c r="B13" s="4" t="s">
        <v>54</v>
      </c>
      <c r="C13" s="35" t="s">
        <v>46</v>
      </c>
      <c r="D13" s="9" t="s">
        <v>60</v>
      </c>
      <c r="E13" s="4" t="s">
        <v>55</v>
      </c>
      <c r="F13" s="4" t="s">
        <v>55</v>
      </c>
      <c r="G13" s="8" t="s">
        <v>128</v>
      </c>
      <c r="H13" s="4" t="s">
        <v>55</v>
      </c>
      <c r="I13" s="4" t="s">
        <v>56</v>
      </c>
      <c r="J13" s="4" t="s">
        <v>48</v>
      </c>
      <c r="K13" s="6" t="s">
        <v>56</v>
      </c>
      <c r="L13" s="4" t="s">
        <v>55</v>
      </c>
      <c r="Q13" s="77">
        <v>1990</v>
      </c>
      <c r="R13" s="77" t="s">
        <v>33</v>
      </c>
      <c r="S13" s="76" t="s">
        <v>23</v>
      </c>
      <c r="T13" s="77" t="s">
        <v>12</v>
      </c>
      <c r="U13" s="76" t="s">
        <v>10</v>
      </c>
    </row>
    <row r="14" spans="1:21" ht="18" thickBot="1">
      <c r="A14" s="2" t="s">
        <v>11</v>
      </c>
      <c r="B14" s="9" t="s">
        <v>58</v>
      </c>
      <c r="C14" s="4" t="s">
        <v>55</v>
      </c>
      <c r="D14" s="9" t="s">
        <v>60</v>
      </c>
      <c r="E14" s="9" t="s">
        <v>60</v>
      </c>
      <c r="F14" s="9" t="s">
        <v>58</v>
      </c>
      <c r="G14" s="8" t="s">
        <v>128</v>
      </c>
      <c r="H14" s="4" t="s">
        <v>54</v>
      </c>
      <c r="I14" s="9" t="s">
        <v>58</v>
      </c>
      <c r="J14" s="4" t="s">
        <v>54</v>
      </c>
      <c r="K14" s="11" t="s">
        <v>58</v>
      </c>
      <c r="L14" s="4" t="s">
        <v>54</v>
      </c>
      <c r="Q14" s="70">
        <v>1991</v>
      </c>
      <c r="R14" s="70" t="s">
        <v>39</v>
      </c>
      <c r="S14" s="71" t="s">
        <v>165</v>
      </c>
      <c r="T14" s="70" t="s">
        <v>25</v>
      </c>
      <c r="U14" s="71" t="s">
        <v>3</v>
      </c>
    </row>
    <row r="15" spans="1:21" ht="18" thickBot="1">
      <c r="A15" s="7" t="s">
        <v>12</v>
      </c>
      <c r="B15" s="4" t="s">
        <v>48</v>
      </c>
      <c r="C15" s="9" t="s">
        <v>58</v>
      </c>
      <c r="D15" s="9" t="s">
        <v>58</v>
      </c>
      <c r="E15" s="9" t="s">
        <v>58</v>
      </c>
      <c r="F15" s="4" t="s">
        <v>54</v>
      </c>
      <c r="G15" s="8" t="s">
        <v>128</v>
      </c>
      <c r="H15" s="4" t="s">
        <v>54</v>
      </c>
      <c r="I15" s="4" t="s">
        <v>54</v>
      </c>
      <c r="J15" s="4" t="s">
        <v>54</v>
      </c>
      <c r="L15" s="4" t="s">
        <v>55</v>
      </c>
      <c r="Q15" s="77">
        <v>1992</v>
      </c>
      <c r="R15" s="77" t="s">
        <v>33</v>
      </c>
      <c r="S15" s="76" t="s">
        <v>10</v>
      </c>
      <c r="T15" s="77" t="s">
        <v>33</v>
      </c>
      <c r="U15" s="76" t="s">
        <v>3</v>
      </c>
    </row>
    <row r="16" spans="1:21" ht="18" thickBot="1">
      <c r="A16" s="2" t="s">
        <v>13</v>
      </c>
      <c r="B16" s="9" t="s">
        <v>58</v>
      </c>
      <c r="C16" s="4" t="s">
        <v>48</v>
      </c>
      <c r="D16" s="4" t="s">
        <v>48</v>
      </c>
      <c r="E16" s="4" t="s">
        <v>54</v>
      </c>
      <c r="F16" s="4" t="s">
        <v>54</v>
      </c>
      <c r="G16" s="8" t="s">
        <v>128</v>
      </c>
      <c r="H16" s="4" t="s">
        <v>54</v>
      </c>
      <c r="I16" s="4" t="s">
        <v>48</v>
      </c>
      <c r="J16" s="4" t="s">
        <v>56</v>
      </c>
      <c r="K16" s="35" t="s">
        <v>46</v>
      </c>
      <c r="L16" s="4" t="s">
        <v>48</v>
      </c>
      <c r="Q16" s="70">
        <v>1993</v>
      </c>
      <c r="R16" s="70" t="s">
        <v>30</v>
      </c>
      <c r="S16" s="71" t="s">
        <v>12</v>
      </c>
      <c r="T16" s="70" t="s">
        <v>30</v>
      </c>
      <c r="U16" s="71" t="s">
        <v>6</v>
      </c>
    </row>
    <row r="17" spans="1:21" ht="18" thickBot="1">
      <c r="A17" s="7" t="s">
        <v>14</v>
      </c>
      <c r="B17" s="4" t="s">
        <v>54</v>
      </c>
      <c r="C17" s="5" t="s">
        <v>69</v>
      </c>
      <c r="D17" s="4" t="s">
        <v>48</v>
      </c>
      <c r="E17" s="4" t="s">
        <v>48</v>
      </c>
      <c r="F17" s="4" t="s">
        <v>48</v>
      </c>
      <c r="G17" s="8" t="s">
        <v>128</v>
      </c>
      <c r="H17" s="9" t="s">
        <v>60</v>
      </c>
      <c r="I17" s="4" t="s">
        <v>48</v>
      </c>
      <c r="J17" s="4" t="s">
        <v>48</v>
      </c>
      <c r="K17" s="13" t="s">
        <v>71</v>
      </c>
      <c r="L17" s="3" t="s">
        <v>128</v>
      </c>
      <c r="Q17" s="77">
        <v>1994</v>
      </c>
      <c r="R17" s="77" t="s">
        <v>3</v>
      </c>
      <c r="S17" s="76" t="s">
        <v>26</v>
      </c>
      <c r="T17" s="77" t="s">
        <v>34</v>
      </c>
      <c r="U17" s="76" t="s">
        <v>12</v>
      </c>
    </row>
    <row r="18" spans="1:21" ht="18" thickBot="1">
      <c r="A18" s="2" t="s">
        <v>15</v>
      </c>
      <c r="B18" s="5" t="s">
        <v>68</v>
      </c>
      <c r="C18" s="4" t="s">
        <v>54</v>
      </c>
      <c r="D18" s="3" t="s">
        <v>128</v>
      </c>
      <c r="E18" s="3" t="s">
        <v>128</v>
      </c>
      <c r="F18" s="3" t="s">
        <v>128</v>
      </c>
      <c r="G18" s="34" t="s">
        <v>72</v>
      </c>
      <c r="H18" s="5" t="s">
        <v>66</v>
      </c>
      <c r="I18" s="9" t="s">
        <v>58</v>
      </c>
      <c r="J18" s="4" t="s">
        <v>54</v>
      </c>
      <c r="K18" s="11" t="s">
        <v>58</v>
      </c>
      <c r="L18" s="4" t="s">
        <v>54</v>
      </c>
      <c r="Q18" s="70">
        <v>1995</v>
      </c>
      <c r="R18" s="70" t="s">
        <v>30</v>
      </c>
      <c r="S18" s="71" t="s">
        <v>12</v>
      </c>
      <c r="T18" s="70" t="s">
        <v>34</v>
      </c>
      <c r="U18" s="71" t="s">
        <v>9</v>
      </c>
    </row>
    <row r="19" spans="1:21" ht="18" thickBot="1">
      <c r="A19" s="7" t="s">
        <v>16</v>
      </c>
      <c r="B19" s="9" t="s">
        <v>60</v>
      </c>
      <c r="C19" s="4" t="s">
        <v>55</v>
      </c>
      <c r="D19" s="9" t="s">
        <v>58</v>
      </c>
      <c r="E19" s="9" t="s">
        <v>58</v>
      </c>
      <c r="F19" s="9" t="s">
        <v>58</v>
      </c>
      <c r="G19" s="8" t="s">
        <v>128</v>
      </c>
      <c r="H19" s="9" t="s">
        <v>58</v>
      </c>
      <c r="I19" s="4" t="s">
        <v>54</v>
      </c>
      <c r="J19" s="4" t="s">
        <v>55</v>
      </c>
      <c r="K19" s="6" t="s">
        <v>55</v>
      </c>
      <c r="L19" s="9" t="s">
        <v>58</v>
      </c>
      <c r="Q19" s="77">
        <v>1996</v>
      </c>
      <c r="R19" s="77" t="s">
        <v>30</v>
      </c>
      <c r="S19" s="76" t="s">
        <v>18</v>
      </c>
      <c r="T19" s="77" t="s">
        <v>7</v>
      </c>
      <c r="U19" s="76" t="s">
        <v>40</v>
      </c>
    </row>
    <row r="20" spans="1:21" ht="18" thickBot="1">
      <c r="A20" s="2" t="s">
        <v>17</v>
      </c>
      <c r="B20" s="3" t="s">
        <v>128</v>
      </c>
      <c r="C20" s="3" t="s">
        <v>128</v>
      </c>
      <c r="D20" s="3" t="s">
        <v>128</v>
      </c>
      <c r="E20" s="3" t="s">
        <v>128</v>
      </c>
      <c r="F20" s="3" t="s">
        <v>128</v>
      </c>
      <c r="G20" s="3" t="s">
        <v>128</v>
      </c>
      <c r="H20" s="3" t="s">
        <v>128</v>
      </c>
      <c r="I20" s="3" t="s">
        <v>128</v>
      </c>
      <c r="J20" s="3" t="s">
        <v>128</v>
      </c>
      <c r="K20" s="3" t="s">
        <v>128</v>
      </c>
      <c r="L20" s="3" t="s">
        <v>128</v>
      </c>
      <c r="Q20" s="70">
        <v>1997</v>
      </c>
      <c r="R20" s="70" t="s">
        <v>23</v>
      </c>
      <c r="S20" s="71" t="s">
        <v>25</v>
      </c>
      <c r="T20" s="70" t="s">
        <v>40</v>
      </c>
      <c r="U20" s="71" t="s">
        <v>12</v>
      </c>
    </row>
    <row r="21" spans="1:21" ht="18" thickBot="1">
      <c r="A21" s="7" t="s">
        <v>18</v>
      </c>
      <c r="B21" s="9" t="s">
        <v>58</v>
      </c>
      <c r="C21" s="9" t="s">
        <v>58</v>
      </c>
      <c r="D21" s="9" t="s">
        <v>58</v>
      </c>
      <c r="E21" s="4" t="s">
        <v>56</v>
      </c>
      <c r="F21" s="4" t="s">
        <v>54</v>
      </c>
      <c r="G21" s="8" t="s">
        <v>128</v>
      </c>
      <c r="H21" s="4" t="s">
        <v>54</v>
      </c>
      <c r="I21" s="4" t="s">
        <v>54</v>
      </c>
      <c r="J21" s="35" t="s">
        <v>46</v>
      </c>
      <c r="K21" s="6" t="s">
        <v>48</v>
      </c>
      <c r="L21" s="9" t="s">
        <v>60</v>
      </c>
      <c r="Q21" s="77">
        <v>1998</v>
      </c>
      <c r="R21" s="77" t="s">
        <v>12</v>
      </c>
      <c r="S21" s="76" t="s">
        <v>164</v>
      </c>
      <c r="T21" s="77" t="s">
        <v>20</v>
      </c>
      <c r="U21" s="76" t="s">
        <v>33</v>
      </c>
    </row>
    <row r="22" spans="1:21" ht="18" thickBot="1">
      <c r="A22" s="2" t="s">
        <v>47</v>
      </c>
      <c r="B22" s="4" t="s">
        <v>54</v>
      </c>
      <c r="C22" s="4" t="s">
        <v>54</v>
      </c>
      <c r="D22" s="4" t="s">
        <v>54</v>
      </c>
      <c r="E22" s="4" t="s">
        <v>48</v>
      </c>
      <c r="F22" s="4" t="s">
        <v>54</v>
      </c>
      <c r="G22" s="8" t="s">
        <v>128</v>
      </c>
      <c r="H22" s="4" t="s">
        <v>48</v>
      </c>
      <c r="I22" s="5" t="s">
        <v>129</v>
      </c>
      <c r="J22" s="4" t="s">
        <v>48</v>
      </c>
      <c r="K22" s="6" t="s">
        <v>54</v>
      </c>
      <c r="L22" s="4" t="s">
        <v>54</v>
      </c>
      <c r="Q22" s="70">
        <v>1999</v>
      </c>
      <c r="R22" s="70" t="s">
        <v>8</v>
      </c>
      <c r="S22" s="71" t="s">
        <v>12</v>
      </c>
      <c r="T22" s="70" t="s">
        <v>29</v>
      </c>
      <c r="U22" s="71" t="s">
        <v>3</v>
      </c>
    </row>
    <row r="23" spans="1:21" ht="18" thickBot="1">
      <c r="A23" s="7" t="s">
        <v>52</v>
      </c>
      <c r="B23" s="3" t="s">
        <v>128</v>
      </c>
      <c r="C23" s="3" t="s">
        <v>128</v>
      </c>
      <c r="D23" s="3" t="s">
        <v>128</v>
      </c>
      <c r="E23" s="4" t="s">
        <v>48</v>
      </c>
      <c r="F23" s="4" t="s">
        <v>48</v>
      </c>
      <c r="G23" s="3" t="s">
        <v>128</v>
      </c>
      <c r="H23" s="3" t="s">
        <v>128</v>
      </c>
      <c r="I23" s="3" t="s">
        <v>128</v>
      </c>
      <c r="J23" s="3" t="s">
        <v>128</v>
      </c>
      <c r="K23" s="3" t="s">
        <v>128</v>
      </c>
      <c r="L23" s="3" t="s">
        <v>128</v>
      </c>
      <c r="Q23" s="77">
        <v>2000</v>
      </c>
      <c r="R23" s="77" t="s">
        <v>27</v>
      </c>
      <c r="S23" s="76" t="s">
        <v>3</v>
      </c>
      <c r="T23" s="77" t="s">
        <v>27</v>
      </c>
      <c r="U23" s="76" t="s">
        <v>20</v>
      </c>
    </row>
    <row r="24" spans="1:21" ht="18" thickBot="1">
      <c r="A24" s="2" t="s">
        <v>19</v>
      </c>
      <c r="B24" s="10" t="s">
        <v>44</v>
      </c>
      <c r="C24" s="9" t="s">
        <v>58</v>
      </c>
      <c r="D24" s="10" t="s">
        <v>44</v>
      </c>
      <c r="E24" s="10" t="s">
        <v>44</v>
      </c>
      <c r="F24" s="9" t="s">
        <v>60</v>
      </c>
      <c r="G24" s="8" t="s">
        <v>128</v>
      </c>
      <c r="H24" s="9" t="s">
        <v>58</v>
      </c>
      <c r="I24" s="36" t="s">
        <v>45</v>
      </c>
      <c r="J24" s="9" t="s">
        <v>60</v>
      </c>
      <c r="K24" s="6" t="s">
        <v>54</v>
      </c>
      <c r="L24" s="4" t="s">
        <v>55</v>
      </c>
      <c r="Q24" s="72">
        <v>2001</v>
      </c>
      <c r="R24" s="72" t="s">
        <v>3</v>
      </c>
      <c r="S24" s="73" t="s">
        <v>23</v>
      </c>
      <c r="T24" s="72" t="s">
        <v>12</v>
      </c>
      <c r="U24" s="73" t="s">
        <v>8</v>
      </c>
    </row>
    <row r="25" spans="1:21" ht="18" thickBot="1">
      <c r="A25" s="7" t="s">
        <v>126</v>
      </c>
      <c r="B25" s="3" t="s">
        <v>128</v>
      </c>
      <c r="C25" s="3" t="s">
        <v>128</v>
      </c>
      <c r="D25" s="3" t="s">
        <v>128</v>
      </c>
      <c r="E25" s="3" t="s">
        <v>128</v>
      </c>
      <c r="F25" s="3" t="s">
        <v>128</v>
      </c>
      <c r="G25" s="3" t="s">
        <v>128</v>
      </c>
      <c r="H25" s="3" t="s">
        <v>128</v>
      </c>
      <c r="I25" s="3" t="s">
        <v>128</v>
      </c>
      <c r="J25" s="3" t="s">
        <v>128</v>
      </c>
      <c r="K25" s="3" t="s">
        <v>128</v>
      </c>
      <c r="L25" s="3" t="s">
        <v>128</v>
      </c>
      <c r="Q25" s="80"/>
      <c r="R25" s="81" t="s">
        <v>166</v>
      </c>
      <c r="S25" s="78"/>
    </row>
    <row r="26" spans="1:21" ht="18" thickBot="1">
      <c r="A26" s="2" t="s">
        <v>21</v>
      </c>
      <c r="B26" s="4" t="s">
        <v>56</v>
      </c>
      <c r="C26" s="4" t="s">
        <v>48</v>
      </c>
      <c r="D26" s="4" t="s">
        <v>48</v>
      </c>
      <c r="E26" s="4" t="s">
        <v>48</v>
      </c>
      <c r="F26" s="4" t="s">
        <v>48</v>
      </c>
      <c r="G26" s="8" t="s">
        <v>128</v>
      </c>
      <c r="H26" s="9" t="s">
        <v>60</v>
      </c>
      <c r="I26" s="4" t="s">
        <v>55</v>
      </c>
      <c r="J26" s="4" t="s">
        <v>55</v>
      </c>
      <c r="K26" s="6" t="s">
        <v>55</v>
      </c>
      <c r="L26" s="33" t="s">
        <v>61</v>
      </c>
      <c r="Q26" s="79"/>
      <c r="R26" s="75" t="s">
        <v>162</v>
      </c>
      <c r="S26" s="74" t="s">
        <v>163</v>
      </c>
    </row>
    <row r="27" spans="1:21" ht="18" thickBot="1">
      <c r="A27" s="7" t="s">
        <v>22</v>
      </c>
      <c r="B27" s="3" t="s">
        <v>128</v>
      </c>
      <c r="C27" s="3" t="s">
        <v>128</v>
      </c>
      <c r="D27" s="3" t="s">
        <v>128</v>
      </c>
      <c r="E27" s="3" t="s">
        <v>128</v>
      </c>
      <c r="F27" s="3" t="s">
        <v>128</v>
      </c>
      <c r="G27" s="3" t="s">
        <v>128</v>
      </c>
      <c r="H27" s="3" t="s">
        <v>128</v>
      </c>
      <c r="I27" s="3" t="s">
        <v>128</v>
      </c>
      <c r="J27" s="3" t="s">
        <v>128</v>
      </c>
      <c r="K27" s="3" t="s">
        <v>128</v>
      </c>
      <c r="L27" s="3" t="s">
        <v>128</v>
      </c>
      <c r="Q27" s="70">
        <v>2002</v>
      </c>
      <c r="R27" s="70" t="s">
        <v>12</v>
      </c>
      <c r="S27" s="71" t="s">
        <v>29</v>
      </c>
    </row>
    <row r="28" spans="1:21" ht="18" thickBot="1">
      <c r="A28" s="2" t="s">
        <v>23</v>
      </c>
      <c r="B28" s="9" t="s">
        <v>58</v>
      </c>
      <c r="C28" s="9" t="s">
        <v>59</v>
      </c>
      <c r="D28" s="4" t="s">
        <v>54</v>
      </c>
      <c r="E28" s="9" t="s">
        <v>59</v>
      </c>
      <c r="F28" s="10" t="s">
        <v>44</v>
      </c>
      <c r="G28" s="8" t="s">
        <v>128</v>
      </c>
      <c r="H28" s="9" t="s">
        <v>60</v>
      </c>
      <c r="I28" s="9" t="s">
        <v>58</v>
      </c>
      <c r="J28" s="9" t="s">
        <v>58</v>
      </c>
      <c r="K28" s="6" t="s">
        <v>54</v>
      </c>
      <c r="L28" s="4" t="s">
        <v>48</v>
      </c>
      <c r="Q28" s="72">
        <v>2003</v>
      </c>
      <c r="R28" s="72" t="s">
        <v>5</v>
      </c>
      <c r="S28" s="73" t="s">
        <v>8</v>
      </c>
    </row>
    <row r="29" spans="1:21" ht="18" thickBot="1">
      <c r="A29" s="7" t="s">
        <v>24</v>
      </c>
      <c r="B29" s="9" t="s">
        <v>58</v>
      </c>
      <c r="C29" s="9" t="s">
        <v>60</v>
      </c>
      <c r="D29" s="33" t="s">
        <v>61</v>
      </c>
      <c r="E29" s="9" t="s">
        <v>58</v>
      </c>
      <c r="F29" s="9" t="s">
        <v>60</v>
      </c>
      <c r="G29" s="8" t="s">
        <v>128</v>
      </c>
      <c r="H29" s="9" t="s">
        <v>58</v>
      </c>
      <c r="I29" s="4" t="s">
        <v>54</v>
      </c>
      <c r="J29" s="4" t="s">
        <v>55</v>
      </c>
      <c r="K29" s="6" t="s">
        <v>56</v>
      </c>
      <c r="L29" s="12" t="s">
        <v>44</v>
      </c>
      <c r="Q29" s="80"/>
      <c r="R29" s="82" t="s">
        <v>167</v>
      </c>
      <c r="S29" s="78"/>
      <c r="T29" s="82" t="s">
        <v>181</v>
      </c>
      <c r="U29" s="78"/>
    </row>
    <row r="30" spans="1:21" ht="18" thickBot="1">
      <c r="A30" s="2" t="s">
        <v>25</v>
      </c>
      <c r="B30" s="9" t="s">
        <v>60</v>
      </c>
      <c r="C30" s="10" t="s">
        <v>44</v>
      </c>
      <c r="D30" s="9" t="s">
        <v>60</v>
      </c>
      <c r="E30" s="9" t="s">
        <v>58</v>
      </c>
      <c r="F30" s="9" t="s">
        <v>58</v>
      </c>
      <c r="G30" s="8" t="s">
        <v>128</v>
      </c>
      <c r="H30" s="9" t="s">
        <v>60</v>
      </c>
      <c r="I30" s="9" t="s">
        <v>58</v>
      </c>
      <c r="J30" s="33" t="s">
        <v>61</v>
      </c>
      <c r="K30" s="11" t="s">
        <v>58</v>
      </c>
      <c r="L30" s="9" t="s">
        <v>58</v>
      </c>
      <c r="Q30" s="79"/>
      <c r="R30" s="75" t="s">
        <v>162</v>
      </c>
      <c r="S30" s="74" t="s">
        <v>163</v>
      </c>
      <c r="T30" s="75" t="s">
        <v>162</v>
      </c>
      <c r="U30" s="74" t="s">
        <v>163</v>
      </c>
    </row>
    <row r="31" spans="1:21" ht="18" thickBot="1">
      <c r="A31" s="7" t="s">
        <v>26</v>
      </c>
      <c r="B31" s="36" t="s">
        <v>45</v>
      </c>
      <c r="C31" s="9" t="s">
        <v>58</v>
      </c>
      <c r="D31" s="35" t="s">
        <v>46</v>
      </c>
      <c r="E31" s="4" t="s">
        <v>55</v>
      </c>
      <c r="F31" s="4" t="s">
        <v>48</v>
      </c>
      <c r="G31" s="8" t="s">
        <v>128</v>
      </c>
      <c r="H31" s="4" t="s">
        <v>55</v>
      </c>
      <c r="I31" s="9" t="s">
        <v>201</v>
      </c>
      <c r="J31" s="14" t="s">
        <v>68</v>
      </c>
      <c r="K31" s="6" t="s">
        <v>55</v>
      </c>
      <c r="L31" s="9" t="s">
        <v>60</v>
      </c>
      <c r="Q31" s="70">
        <v>2004</v>
      </c>
      <c r="R31" s="70" t="s">
        <v>40</v>
      </c>
      <c r="S31" s="71" t="s">
        <v>8</v>
      </c>
      <c r="T31" s="88" t="s">
        <v>128</v>
      </c>
      <c r="U31" s="89" t="s">
        <v>128</v>
      </c>
    </row>
    <row r="32" spans="1:21" ht="18" thickBot="1">
      <c r="A32" s="2" t="s">
        <v>27</v>
      </c>
      <c r="B32" s="9" t="s">
        <v>60</v>
      </c>
      <c r="C32" s="9" t="s">
        <v>58</v>
      </c>
      <c r="D32" s="4" t="s">
        <v>48</v>
      </c>
      <c r="E32" s="9" t="s">
        <v>60</v>
      </c>
      <c r="F32" s="9" t="s">
        <v>58</v>
      </c>
      <c r="G32" s="8" t="s">
        <v>128</v>
      </c>
      <c r="H32" s="9" t="s">
        <v>58</v>
      </c>
      <c r="I32" s="9" t="s">
        <v>60</v>
      </c>
      <c r="J32" s="9" t="s">
        <v>60</v>
      </c>
      <c r="K32" s="11" t="s">
        <v>58</v>
      </c>
      <c r="L32" s="9" t="s">
        <v>59</v>
      </c>
      <c r="Q32" s="70">
        <v>2005</v>
      </c>
      <c r="R32" s="70" t="s">
        <v>12</v>
      </c>
      <c r="S32" s="71" t="s">
        <v>3</v>
      </c>
      <c r="T32" s="70" t="s">
        <v>182</v>
      </c>
      <c r="U32" s="71" t="s">
        <v>173</v>
      </c>
    </row>
    <row r="33" spans="1:21" ht="18" thickBot="1">
      <c r="A33" s="27" t="s">
        <v>51</v>
      </c>
      <c r="B33" s="3" t="s">
        <v>128</v>
      </c>
      <c r="C33" s="3" t="s">
        <v>128</v>
      </c>
      <c r="D33" s="3" t="s">
        <v>128</v>
      </c>
      <c r="E33" s="3" t="s">
        <v>128</v>
      </c>
      <c r="F33" s="3" t="s">
        <v>128</v>
      </c>
      <c r="G33" s="3" t="s">
        <v>128</v>
      </c>
      <c r="H33" s="3" t="s">
        <v>128</v>
      </c>
      <c r="I33" s="4" t="s">
        <v>48</v>
      </c>
      <c r="J33" s="3" t="s">
        <v>128</v>
      </c>
      <c r="K33" s="3" t="s">
        <v>128</v>
      </c>
      <c r="L33" s="3" t="s">
        <v>128</v>
      </c>
      <c r="Q33" s="70">
        <v>2006</v>
      </c>
      <c r="R33" s="70" t="s">
        <v>3</v>
      </c>
      <c r="S33" s="71" t="s">
        <v>9</v>
      </c>
      <c r="T33" s="88" t="s">
        <v>182</v>
      </c>
      <c r="U33" s="89" t="s">
        <v>185</v>
      </c>
    </row>
    <row r="34" spans="1:21" ht="18" thickBot="1">
      <c r="A34" s="2" t="s">
        <v>49</v>
      </c>
      <c r="B34" s="4" t="s">
        <v>64</v>
      </c>
      <c r="C34" s="3" t="s">
        <v>128</v>
      </c>
      <c r="D34" s="3" t="s">
        <v>128</v>
      </c>
      <c r="E34" s="3" t="s">
        <v>128</v>
      </c>
      <c r="F34" s="3" t="s">
        <v>128</v>
      </c>
      <c r="G34" s="3" t="s">
        <v>128</v>
      </c>
      <c r="H34" s="3" t="s">
        <v>128</v>
      </c>
      <c r="I34" s="3" t="s">
        <v>128</v>
      </c>
      <c r="J34" s="3" t="s">
        <v>128</v>
      </c>
      <c r="K34" s="3" t="s">
        <v>128</v>
      </c>
      <c r="L34" s="3" t="s">
        <v>128</v>
      </c>
      <c r="Q34" s="70">
        <v>2007</v>
      </c>
      <c r="R34" s="70" t="s">
        <v>5</v>
      </c>
      <c r="S34" s="71" t="s">
        <v>27</v>
      </c>
      <c r="T34" s="88" t="s">
        <v>128</v>
      </c>
      <c r="U34" s="89" t="s">
        <v>128</v>
      </c>
    </row>
    <row r="35" spans="1:21" ht="18" thickBot="1">
      <c r="A35" s="7" t="s">
        <v>28</v>
      </c>
      <c r="B35" s="4" t="s">
        <v>65</v>
      </c>
      <c r="C35" s="4" t="s">
        <v>48</v>
      </c>
      <c r="D35" s="9" t="s">
        <v>58</v>
      </c>
      <c r="E35" s="9" t="s">
        <v>58</v>
      </c>
      <c r="F35" s="9" t="s">
        <v>58</v>
      </c>
      <c r="G35" s="8" t="s">
        <v>128</v>
      </c>
      <c r="H35" s="4" t="s">
        <v>48</v>
      </c>
      <c r="I35" s="4" t="s">
        <v>56</v>
      </c>
      <c r="J35" s="9" t="s">
        <v>58</v>
      </c>
      <c r="K35" s="11" t="s">
        <v>60</v>
      </c>
      <c r="L35" s="4" t="s">
        <v>54</v>
      </c>
      <c r="Q35" s="70">
        <v>2008</v>
      </c>
      <c r="R35" s="70" t="s">
        <v>40</v>
      </c>
      <c r="S35" s="71" t="s">
        <v>30</v>
      </c>
      <c r="T35" s="70" t="s">
        <v>183</v>
      </c>
      <c r="U35" s="71" t="s">
        <v>184</v>
      </c>
    </row>
    <row r="36" spans="1:21" ht="18" thickBot="1">
      <c r="A36" s="2" t="s">
        <v>29</v>
      </c>
      <c r="B36" s="35" t="s">
        <v>46</v>
      </c>
      <c r="C36" s="9" t="s">
        <v>60</v>
      </c>
      <c r="D36" s="4" t="s">
        <v>54</v>
      </c>
      <c r="E36" s="9" t="s">
        <v>58</v>
      </c>
      <c r="F36" s="36" t="s">
        <v>45</v>
      </c>
      <c r="G36" s="8" t="s">
        <v>128</v>
      </c>
      <c r="H36" s="9" t="s">
        <v>58</v>
      </c>
      <c r="I36" s="4" t="s">
        <v>48</v>
      </c>
      <c r="J36" s="4" t="s">
        <v>54</v>
      </c>
      <c r="K36" s="11" t="s">
        <v>60</v>
      </c>
      <c r="L36" s="4" t="s">
        <v>56</v>
      </c>
      <c r="Q36" s="70">
        <v>2009</v>
      </c>
      <c r="R36" s="70" t="s">
        <v>27</v>
      </c>
      <c r="S36" s="71" t="s">
        <v>5</v>
      </c>
      <c r="T36" s="94" t="s">
        <v>186</v>
      </c>
      <c r="U36" s="95"/>
    </row>
    <row r="37" spans="1:21" ht="18" thickBot="1">
      <c r="A37" s="7" t="s">
        <v>30</v>
      </c>
      <c r="B37" s="9" t="s">
        <v>59</v>
      </c>
      <c r="C37" s="9" t="s">
        <v>58</v>
      </c>
      <c r="D37" s="9" t="s">
        <v>58</v>
      </c>
      <c r="E37" s="9" t="s">
        <v>59</v>
      </c>
      <c r="F37" s="9" t="s">
        <v>60</v>
      </c>
      <c r="G37" s="8" t="s">
        <v>128</v>
      </c>
      <c r="H37" s="36" t="s">
        <v>45</v>
      </c>
      <c r="I37" s="9" t="s">
        <v>200</v>
      </c>
      <c r="J37" s="9" t="s">
        <v>58</v>
      </c>
      <c r="K37" s="11" t="s">
        <v>60</v>
      </c>
      <c r="L37" s="9" t="s">
        <v>58</v>
      </c>
      <c r="Q37" s="70">
        <v>2010</v>
      </c>
      <c r="R37" s="70" t="s">
        <v>12</v>
      </c>
      <c r="S37" s="71" t="s">
        <v>19</v>
      </c>
      <c r="T37" s="70" t="s">
        <v>187</v>
      </c>
      <c r="U37" s="71" t="s">
        <v>196</v>
      </c>
    </row>
    <row r="38" spans="1:21" ht="18" thickBot="1">
      <c r="A38" s="2" t="s">
        <v>31</v>
      </c>
      <c r="B38" s="4" t="s">
        <v>55</v>
      </c>
      <c r="C38" s="4" t="s">
        <v>48</v>
      </c>
      <c r="D38" s="3" t="s">
        <v>128</v>
      </c>
      <c r="E38" s="3" t="s">
        <v>128</v>
      </c>
      <c r="F38" s="3" t="s">
        <v>128</v>
      </c>
      <c r="G38" s="3" t="s">
        <v>128</v>
      </c>
      <c r="H38" s="3" t="s">
        <v>128</v>
      </c>
      <c r="I38" s="3" t="s">
        <v>128</v>
      </c>
      <c r="J38" s="3" t="s">
        <v>128</v>
      </c>
      <c r="K38" s="3" t="s">
        <v>128</v>
      </c>
      <c r="L38" s="3" t="s">
        <v>128</v>
      </c>
      <c r="Q38" s="70">
        <v>2011</v>
      </c>
      <c r="R38" s="70" t="s">
        <v>27</v>
      </c>
      <c r="S38" s="71" t="s">
        <v>30</v>
      </c>
      <c r="T38" s="70" t="s">
        <v>174</v>
      </c>
      <c r="U38" s="71" t="s">
        <v>177</v>
      </c>
    </row>
    <row r="39" spans="1:21" ht="18" thickBot="1">
      <c r="A39" s="7" t="s">
        <v>63</v>
      </c>
      <c r="B39" s="4" t="s">
        <v>48</v>
      </c>
      <c r="C39" s="4" t="s">
        <v>54</v>
      </c>
      <c r="D39" s="36" t="s">
        <v>45</v>
      </c>
      <c r="E39" s="9" t="s">
        <v>60</v>
      </c>
      <c r="F39" s="9" t="s">
        <v>59</v>
      </c>
      <c r="G39" s="8" t="s">
        <v>128</v>
      </c>
      <c r="H39" s="4" t="s">
        <v>55</v>
      </c>
      <c r="I39" s="4" t="s">
        <v>55</v>
      </c>
      <c r="J39" s="4" t="s">
        <v>48</v>
      </c>
      <c r="K39" s="6" t="s">
        <v>48</v>
      </c>
      <c r="L39" s="4" t="s">
        <v>56</v>
      </c>
      <c r="Q39" s="70">
        <v>2012</v>
      </c>
      <c r="R39" s="70" t="s">
        <v>19</v>
      </c>
      <c r="S39" s="71" t="s">
        <v>25</v>
      </c>
      <c r="T39" s="70" t="s">
        <v>188</v>
      </c>
      <c r="U39" s="71" t="s">
        <v>196</v>
      </c>
    </row>
    <row r="40" spans="1:21" ht="18" thickBot="1">
      <c r="A40" s="2" t="s">
        <v>50</v>
      </c>
      <c r="B40" s="3" t="s">
        <v>128</v>
      </c>
      <c r="C40" s="3" t="s">
        <v>128</v>
      </c>
      <c r="D40" s="3" t="s">
        <v>128</v>
      </c>
      <c r="E40" s="4" t="s">
        <v>56</v>
      </c>
      <c r="F40" s="4" t="s">
        <v>54</v>
      </c>
      <c r="G40" s="8" t="s">
        <v>128</v>
      </c>
      <c r="H40" s="4" t="s">
        <v>56</v>
      </c>
      <c r="I40" s="9" t="s">
        <v>58</v>
      </c>
      <c r="J40" s="4" t="s">
        <v>54</v>
      </c>
      <c r="K40" s="6" t="s">
        <v>48</v>
      </c>
      <c r="L40" s="4" t="s">
        <v>48</v>
      </c>
      <c r="Q40" s="70">
        <v>2013</v>
      </c>
      <c r="R40" s="70" t="s">
        <v>172</v>
      </c>
      <c r="S40" s="71" t="s">
        <v>25</v>
      </c>
      <c r="T40" s="70" t="s">
        <v>189</v>
      </c>
      <c r="U40" s="71" t="s">
        <v>182</v>
      </c>
    </row>
    <row r="41" spans="1:21" ht="18" thickBot="1">
      <c r="A41" s="27" t="s">
        <v>32</v>
      </c>
      <c r="B41" s="4" t="s">
        <v>48</v>
      </c>
      <c r="C41" s="4" t="s">
        <v>48</v>
      </c>
      <c r="D41" s="4" t="s">
        <v>54</v>
      </c>
      <c r="E41" s="4" t="s">
        <v>54</v>
      </c>
      <c r="F41" s="4" t="s">
        <v>54</v>
      </c>
      <c r="G41" s="8" t="s">
        <v>128</v>
      </c>
      <c r="H41" s="9" t="s">
        <v>58</v>
      </c>
      <c r="I41" s="4" t="s">
        <v>48</v>
      </c>
      <c r="J41" s="4" t="s">
        <v>55</v>
      </c>
      <c r="K41" s="6" t="s">
        <v>54</v>
      </c>
      <c r="L41" s="35" t="s">
        <v>46</v>
      </c>
      <c r="Q41" s="83">
        <v>2014</v>
      </c>
      <c r="R41" s="70" t="s">
        <v>5</v>
      </c>
      <c r="S41" s="71" t="s">
        <v>30</v>
      </c>
      <c r="T41" s="91" t="s">
        <v>199</v>
      </c>
      <c r="U41" s="71" t="s">
        <v>184</v>
      </c>
    </row>
    <row r="42" spans="1:21" ht="18" thickBot="1">
      <c r="A42" s="2" t="s">
        <v>33</v>
      </c>
      <c r="B42" s="9" t="s">
        <v>58</v>
      </c>
      <c r="C42" s="9" t="s">
        <v>58</v>
      </c>
      <c r="D42" s="4" t="s">
        <v>55</v>
      </c>
      <c r="E42" s="35" t="s">
        <v>46</v>
      </c>
      <c r="F42" s="4" t="s">
        <v>56</v>
      </c>
      <c r="G42" s="8" t="s">
        <v>128</v>
      </c>
      <c r="H42" s="4" t="s">
        <v>54</v>
      </c>
      <c r="I42" s="33" t="s">
        <v>61</v>
      </c>
      <c r="J42" s="9" t="s">
        <v>59</v>
      </c>
      <c r="K42" s="11" t="s">
        <v>60</v>
      </c>
      <c r="L42" s="9" t="s">
        <v>60</v>
      </c>
      <c r="Q42" s="83">
        <v>2015</v>
      </c>
      <c r="R42" s="70" t="s">
        <v>173</v>
      </c>
      <c r="S42" s="71" t="s">
        <v>5</v>
      </c>
      <c r="T42" s="70" t="s">
        <v>190</v>
      </c>
      <c r="U42" s="71" t="s">
        <v>183</v>
      </c>
    </row>
    <row r="43" spans="1:21" ht="18" thickBot="1">
      <c r="A43" s="27" t="s">
        <v>34</v>
      </c>
      <c r="B43" s="4" t="s">
        <v>48</v>
      </c>
      <c r="C43" s="4" t="s">
        <v>55</v>
      </c>
      <c r="D43" s="4" t="s">
        <v>56</v>
      </c>
      <c r="E43" s="4" t="s">
        <v>55</v>
      </c>
      <c r="F43" s="9" t="s">
        <v>58</v>
      </c>
      <c r="G43" s="8" t="s">
        <v>128</v>
      </c>
      <c r="H43" s="4" t="s">
        <v>48</v>
      </c>
      <c r="I43" s="4" t="s">
        <v>48</v>
      </c>
      <c r="J43" s="36" t="s">
        <v>45</v>
      </c>
      <c r="K43" s="6" t="s">
        <v>54</v>
      </c>
      <c r="L43" s="4" t="s">
        <v>54</v>
      </c>
      <c r="Q43" s="83">
        <v>2016</v>
      </c>
      <c r="R43" s="81" t="s">
        <v>25</v>
      </c>
      <c r="S43" s="71" t="s">
        <v>5</v>
      </c>
      <c r="T43" s="81" t="s">
        <v>191</v>
      </c>
      <c r="U43" s="71" t="s">
        <v>197</v>
      </c>
    </row>
    <row r="44" spans="1:21" ht="18" thickBot="1">
      <c r="A44" s="2" t="s">
        <v>35</v>
      </c>
      <c r="B44" s="4" t="s">
        <v>55</v>
      </c>
      <c r="C44" s="4" t="s">
        <v>54</v>
      </c>
      <c r="D44" s="4" t="s">
        <v>55</v>
      </c>
      <c r="E44" s="4" t="s">
        <v>54</v>
      </c>
      <c r="F44" s="4" t="s">
        <v>48</v>
      </c>
      <c r="G44" s="8" t="s">
        <v>128</v>
      </c>
      <c r="H44" s="4" t="s">
        <v>48</v>
      </c>
      <c r="I44" s="9" t="s">
        <v>59</v>
      </c>
      <c r="J44" s="9" t="s">
        <v>58</v>
      </c>
      <c r="K44" s="6" t="s">
        <v>54</v>
      </c>
      <c r="L44" s="4" t="s">
        <v>48</v>
      </c>
      <c r="Q44" s="83">
        <v>2017</v>
      </c>
      <c r="R44" s="70" t="s">
        <v>173</v>
      </c>
      <c r="S44" s="85" t="s">
        <v>175</v>
      </c>
      <c r="T44" s="91" t="s">
        <v>199</v>
      </c>
      <c r="U44" s="85" t="s">
        <v>190</v>
      </c>
    </row>
    <row r="45" spans="1:21" ht="18" thickBot="1">
      <c r="A45" s="28" t="s">
        <v>36</v>
      </c>
      <c r="B45" s="15" t="s">
        <v>128</v>
      </c>
      <c r="C45" s="15" t="s">
        <v>128</v>
      </c>
      <c r="D45" s="15" t="s">
        <v>128</v>
      </c>
      <c r="E45" s="15" t="s">
        <v>128</v>
      </c>
      <c r="F45" s="15" t="s">
        <v>128</v>
      </c>
      <c r="G45" s="15" t="s">
        <v>128</v>
      </c>
      <c r="H45" s="15" t="s">
        <v>128</v>
      </c>
      <c r="I45" s="15" t="s">
        <v>128</v>
      </c>
      <c r="J45" s="15" t="s">
        <v>128</v>
      </c>
      <c r="K45" s="15" t="s">
        <v>128</v>
      </c>
      <c r="L45" s="15" t="s">
        <v>128</v>
      </c>
      <c r="Q45" s="83">
        <v>2018</v>
      </c>
      <c r="R45" s="70" t="s">
        <v>173</v>
      </c>
      <c r="S45" s="71" t="s">
        <v>3</v>
      </c>
      <c r="T45" s="70" t="s">
        <v>177</v>
      </c>
      <c r="U45" s="71" t="s">
        <v>165</v>
      </c>
    </row>
    <row r="46" spans="1:21" ht="18" thickBot="1">
      <c r="A46" s="2" t="s">
        <v>37</v>
      </c>
      <c r="B46" s="4" t="s">
        <v>56</v>
      </c>
      <c r="C46" s="4" t="s">
        <v>54</v>
      </c>
      <c r="D46" s="4" t="s">
        <v>55</v>
      </c>
      <c r="E46" s="4" t="s">
        <v>48</v>
      </c>
      <c r="F46" s="4" t="s">
        <v>54</v>
      </c>
      <c r="G46" s="8" t="s">
        <v>128</v>
      </c>
      <c r="H46" s="4" t="s">
        <v>48</v>
      </c>
      <c r="I46" s="4" t="s">
        <v>55</v>
      </c>
      <c r="J46" s="4" t="s">
        <v>54</v>
      </c>
      <c r="K46" s="6" t="s">
        <v>48</v>
      </c>
      <c r="L46" s="4" t="s">
        <v>48</v>
      </c>
      <c r="Q46" s="83">
        <v>2019</v>
      </c>
      <c r="R46" s="70" t="s">
        <v>23</v>
      </c>
      <c r="S46" s="85" t="s">
        <v>174</v>
      </c>
      <c r="T46" s="70" t="s">
        <v>183</v>
      </c>
      <c r="U46" s="85" t="s">
        <v>53</v>
      </c>
    </row>
    <row r="47" spans="1:21" ht="18" thickBot="1">
      <c r="A47" s="27" t="s">
        <v>38</v>
      </c>
      <c r="B47" s="4" t="s">
        <v>54</v>
      </c>
      <c r="C47" s="4" t="s">
        <v>56</v>
      </c>
      <c r="D47" s="9" t="s">
        <v>58</v>
      </c>
      <c r="E47" s="36" t="s">
        <v>45</v>
      </c>
      <c r="F47" s="4" t="s">
        <v>55</v>
      </c>
      <c r="G47" s="8" t="s">
        <v>128</v>
      </c>
      <c r="H47" s="33" t="s">
        <v>61</v>
      </c>
      <c r="I47" s="12" t="s">
        <v>44</v>
      </c>
      <c r="J47" s="12" t="s">
        <v>44</v>
      </c>
      <c r="K47" s="11" t="s">
        <v>58</v>
      </c>
      <c r="L47" s="9" t="s">
        <v>58</v>
      </c>
      <c r="Q47" s="83">
        <v>2020</v>
      </c>
      <c r="R47" s="96" t="s">
        <v>176</v>
      </c>
      <c r="S47" s="97"/>
      <c r="T47" s="96" t="s">
        <v>176</v>
      </c>
      <c r="U47" s="97"/>
    </row>
    <row r="48" spans="1:21" ht="18" thickBot="1">
      <c r="A48" s="2" t="s">
        <v>39</v>
      </c>
      <c r="B48" s="4" t="s">
        <v>54</v>
      </c>
      <c r="C48" s="4" t="s">
        <v>56</v>
      </c>
      <c r="D48" s="4" t="s">
        <v>54</v>
      </c>
      <c r="E48" s="4" t="s">
        <v>48</v>
      </c>
      <c r="F48" s="4" t="s">
        <v>48</v>
      </c>
      <c r="G48" s="8" t="s">
        <v>128</v>
      </c>
      <c r="H48" s="5" t="s">
        <v>66</v>
      </c>
      <c r="I48" s="4" t="s">
        <v>48</v>
      </c>
      <c r="J48" s="4" t="s">
        <v>48</v>
      </c>
      <c r="K48" s="6" t="s">
        <v>54</v>
      </c>
      <c r="L48" s="4" t="s">
        <v>48</v>
      </c>
      <c r="Q48" s="83">
        <v>2021</v>
      </c>
      <c r="R48" s="87" t="s">
        <v>174</v>
      </c>
      <c r="S48" s="85" t="s">
        <v>177</v>
      </c>
      <c r="T48" s="87" t="s">
        <v>192</v>
      </c>
      <c r="U48" s="85" t="s">
        <v>189</v>
      </c>
    </row>
    <row r="49" spans="1:21" ht="18" thickBot="1">
      <c r="A49" s="27" t="s">
        <v>53</v>
      </c>
      <c r="B49" s="3" t="s">
        <v>128</v>
      </c>
      <c r="C49" s="3" t="s">
        <v>128</v>
      </c>
      <c r="D49" s="3" t="s">
        <v>128</v>
      </c>
      <c r="E49" s="4" t="s">
        <v>55</v>
      </c>
      <c r="F49" s="35" t="s">
        <v>46</v>
      </c>
      <c r="G49" s="8" t="s">
        <v>128</v>
      </c>
      <c r="H49" s="9" t="s">
        <v>58</v>
      </c>
      <c r="I49" s="4" t="s">
        <v>54</v>
      </c>
      <c r="J49" s="4" t="s">
        <v>54</v>
      </c>
      <c r="K49" s="6" t="s">
        <v>48</v>
      </c>
      <c r="L49" s="4" t="s">
        <v>48</v>
      </c>
      <c r="Q49" s="83">
        <v>2022</v>
      </c>
      <c r="R49" s="87" t="s">
        <v>177</v>
      </c>
      <c r="S49" s="85" t="s">
        <v>165</v>
      </c>
      <c r="T49" s="87" t="s">
        <v>173</v>
      </c>
      <c r="U49" s="85" t="s">
        <v>189</v>
      </c>
    </row>
    <row r="50" spans="1:21">
      <c r="A50" s="26" t="s">
        <v>40</v>
      </c>
      <c r="B50" s="18" t="s">
        <v>60</v>
      </c>
      <c r="C50" s="18" t="s">
        <v>60</v>
      </c>
      <c r="D50" s="18" t="s">
        <v>59</v>
      </c>
      <c r="E50" s="16" t="s">
        <v>54</v>
      </c>
      <c r="F50" s="18" t="s">
        <v>58</v>
      </c>
      <c r="G50" s="17" t="s">
        <v>128</v>
      </c>
      <c r="H50" s="16" t="s">
        <v>54</v>
      </c>
      <c r="I50" s="16" t="s">
        <v>55</v>
      </c>
      <c r="J50" s="18" t="s">
        <v>58</v>
      </c>
      <c r="K50" s="37" t="s">
        <v>44</v>
      </c>
      <c r="L50" s="18" t="s">
        <v>58</v>
      </c>
      <c r="Q50" s="83">
        <v>2023</v>
      </c>
      <c r="R50" s="87" t="s">
        <v>177</v>
      </c>
      <c r="S50" s="71" t="s">
        <v>25</v>
      </c>
      <c r="T50" s="87" t="s">
        <v>193</v>
      </c>
      <c r="U50" s="71" t="s">
        <v>187</v>
      </c>
    </row>
    <row r="51" spans="1:21">
      <c r="Q51" s="83">
        <v>2024</v>
      </c>
      <c r="R51" s="70" t="s">
        <v>178</v>
      </c>
      <c r="S51" s="85" t="s">
        <v>180</v>
      </c>
      <c r="T51" s="70" t="s">
        <v>194</v>
      </c>
      <c r="U51" s="85" t="s">
        <v>198</v>
      </c>
    </row>
    <row r="52" spans="1:21">
      <c r="Q52" s="84">
        <v>2025</v>
      </c>
      <c r="R52" s="90" t="s">
        <v>175</v>
      </c>
      <c r="S52" s="86" t="s">
        <v>179</v>
      </c>
      <c r="T52" s="90" t="s">
        <v>195</v>
      </c>
      <c r="U52" s="86" t="s">
        <v>196</v>
      </c>
    </row>
    <row r="53" spans="1:21">
      <c r="B53" s="93"/>
      <c r="C53" s="93"/>
      <c r="D53" s="93"/>
      <c r="E53" s="93"/>
      <c r="F53" s="93"/>
      <c r="G53" s="93"/>
      <c r="H53" s="93"/>
      <c r="I53" s="93"/>
      <c r="J53" s="93"/>
      <c r="K53" s="93"/>
    </row>
    <row r="54" spans="1:21">
      <c r="B54" s="93"/>
      <c r="C54" s="93"/>
      <c r="D54" s="93"/>
      <c r="E54" s="93"/>
      <c r="F54" s="93"/>
      <c r="G54" s="93"/>
      <c r="H54" s="93"/>
      <c r="I54" s="93"/>
      <c r="J54" s="93"/>
      <c r="K54" s="93"/>
    </row>
    <row r="55" spans="1:21">
      <c r="B55" s="93"/>
      <c r="C55" s="93"/>
      <c r="D55" s="93"/>
      <c r="E55" s="93"/>
      <c r="F55" s="93"/>
      <c r="G55" s="93"/>
      <c r="H55" s="93"/>
      <c r="I55" s="93"/>
      <c r="J55" s="93"/>
      <c r="K55" s="93"/>
    </row>
    <row r="56" spans="1:21">
      <c r="B56" s="93"/>
      <c r="C56" s="93"/>
      <c r="D56" s="93"/>
      <c r="E56" s="93"/>
      <c r="F56" s="93"/>
      <c r="G56" s="93"/>
      <c r="H56" s="93"/>
      <c r="I56" s="93"/>
      <c r="J56" s="93"/>
      <c r="K56" s="93"/>
    </row>
    <row r="57" spans="1:21">
      <c r="B57" s="93"/>
      <c r="C57" s="93"/>
      <c r="D57" s="93"/>
      <c r="E57" s="93"/>
      <c r="F57" s="93"/>
      <c r="G57" s="93"/>
      <c r="H57" s="93"/>
      <c r="I57" s="93"/>
      <c r="J57" s="93"/>
      <c r="K57" s="93"/>
    </row>
    <row r="58" spans="1:21">
      <c r="B58" s="93"/>
      <c r="C58" s="93"/>
      <c r="D58" s="93"/>
      <c r="E58" s="93"/>
      <c r="F58" s="93"/>
      <c r="G58" s="93"/>
      <c r="H58" s="93"/>
      <c r="I58" s="93"/>
      <c r="J58" s="93"/>
      <c r="K58" s="93"/>
    </row>
    <row r="59" spans="1:21">
      <c r="B59" s="93"/>
      <c r="C59" s="93"/>
      <c r="D59" s="93"/>
      <c r="E59" s="93"/>
      <c r="F59" s="93"/>
      <c r="G59" s="93"/>
      <c r="H59" s="93"/>
      <c r="I59" s="93"/>
      <c r="J59" s="93"/>
      <c r="K59" s="93"/>
    </row>
    <row r="60" spans="1:21">
      <c r="B60" s="93"/>
      <c r="C60" s="93"/>
      <c r="D60" s="93"/>
      <c r="E60" s="93"/>
      <c r="F60" s="93"/>
      <c r="G60" s="93"/>
      <c r="H60" s="93"/>
      <c r="I60" s="93"/>
      <c r="J60" s="93"/>
      <c r="K60" s="93"/>
    </row>
    <row r="61" spans="1:21">
      <c r="B61" s="93"/>
      <c r="C61" s="93"/>
      <c r="D61" s="93"/>
      <c r="E61" s="93"/>
      <c r="F61" s="93"/>
      <c r="G61" s="93"/>
      <c r="H61" s="93"/>
      <c r="I61" s="93"/>
      <c r="J61" s="93"/>
      <c r="K61" s="93"/>
    </row>
    <row r="62" spans="1:21">
      <c r="B62" s="93"/>
      <c r="C62" s="93"/>
      <c r="D62" s="93"/>
      <c r="E62" s="93"/>
      <c r="F62" s="93"/>
      <c r="G62" s="93"/>
      <c r="H62" s="93"/>
      <c r="I62" s="93"/>
      <c r="J62" s="93"/>
      <c r="K62" s="93"/>
    </row>
    <row r="63" spans="1:21">
      <c r="B63" s="93"/>
      <c r="C63" s="93"/>
      <c r="D63" s="93"/>
      <c r="E63" s="93"/>
      <c r="F63" s="93"/>
      <c r="G63" s="93"/>
      <c r="H63" s="93"/>
      <c r="I63" s="93"/>
      <c r="J63" s="93"/>
      <c r="K63" s="93"/>
    </row>
    <row r="64" spans="1:21">
      <c r="B64" s="93"/>
      <c r="C64" s="93"/>
      <c r="D64" s="93"/>
      <c r="E64" s="93"/>
      <c r="F64" s="93"/>
      <c r="G64" s="93"/>
      <c r="H64" s="93"/>
      <c r="I64" s="93"/>
      <c r="J64" s="93"/>
      <c r="K64" s="93"/>
    </row>
    <row r="65" spans="2:11">
      <c r="B65" s="93"/>
      <c r="C65" s="93"/>
      <c r="D65" s="93"/>
      <c r="E65" s="93"/>
      <c r="F65" s="93"/>
      <c r="G65" s="93"/>
      <c r="H65" s="93"/>
      <c r="I65" s="93"/>
      <c r="J65" s="93"/>
      <c r="K65" s="93"/>
    </row>
    <row r="66" spans="2:11">
      <c r="B66" s="93"/>
      <c r="C66" s="93"/>
      <c r="D66" s="93"/>
      <c r="E66" s="93"/>
      <c r="F66" s="93"/>
      <c r="G66" s="93"/>
      <c r="H66" s="93"/>
      <c r="I66" s="93"/>
      <c r="J66" s="93"/>
      <c r="K66" s="93"/>
    </row>
    <row r="67" spans="2:11">
      <c r="B67" s="93"/>
      <c r="C67" s="93"/>
      <c r="D67" s="93"/>
      <c r="E67" s="93"/>
      <c r="F67" s="93"/>
      <c r="G67" s="93"/>
      <c r="H67" s="93"/>
      <c r="I67" s="93"/>
      <c r="J67" s="93"/>
      <c r="K67" s="93"/>
    </row>
    <row r="68" spans="2:11">
      <c r="B68" s="93"/>
      <c r="C68" s="93"/>
      <c r="D68" s="93"/>
      <c r="E68" s="93"/>
      <c r="F68" s="93"/>
      <c r="G68" s="93"/>
      <c r="H68" s="93"/>
      <c r="I68" s="93"/>
      <c r="J68" s="93"/>
      <c r="K68" s="93"/>
    </row>
    <row r="69" spans="2:11">
      <c r="B69" s="93"/>
      <c r="C69" s="93"/>
      <c r="D69" s="93"/>
      <c r="E69" s="93"/>
      <c r="F69" s="93"/>
      <c r="G69" s="93"/>
      <c r="H69" s="93"/>
      <c r="I69" s="93"/>
      <c r="J69" s="93"/>
      <c r="K69" s="93"/>
    </row>
    <row r="70" spans="2:11">
      <c r="B70" s="93"/>
      <c r="C70" s="93"/>
      <c r="D70" s="93"/>
      <c r="E70" s="93"/>
      <c r="F70" s="93"/>
      <c r="G70" s="93"/>
      <c r="H70" s="93"/>
      <c r="I70" s="93"/>
      <c r="J70" s="93"/>
      <c r="K70" s="93"/>
    </row>
    <row r="71" spans="2:11">
      <c r="B71" s="93"/>
      <c r="C71" s="93"/>
      <c r="D71" s="93"/>
      <c r="E71" s="93"/>
      <c r="F71" s="93"/>
      <c r="G71" s="93"/>
      <c r="H71" s="93"/>
      <c r="I71" s="93"/>
      <c r="J71" s="93"/>
      <c r="K71" s="93"/>
    </row>
    <row r="72" spans="2:11">
      <c r="B72" s="93"/>
      <c r="C72" s="93"/>
      <c r="D72" s="93"/>
      <c r="E72" s="93"/>
      <c r="F72" s="93"/>
      <c r="G72" s="93"/>
      <c r="H72" s="93"/>
      <c r="I72" s="93"/>
      <c r="J72" s="93"/>
      <c r="K72" s="93"/>
    </row>
    <row r="73" spans="2:11">
      <c r="B73" s="93"/>
      <c r="C73" s="93"/>
      <c r="D73" s="93"/>
      <c r="E73" s="93"/>
      <c r="F73" s="93"/>
      <c r="G73" s="93"/>
      <c r="H73" s="93"/>
      <c r="I73" s="93"/>
      <c r="J73" s="93"/>
      <c r="K73" s="93"/>
    </row>
    <row r="74" spans="2:11">
      <c r="B74" s="93"/>
      <c r="C74" s="93"/>
      <c r="D74" s="93"/>
      <c r="E74" s="93"/>
      <c r="F74" s="93"/>
      <c r="G74" s="93"/>
      <c r="H74" s="93"/>
      <c r="I74" s="93"/>
      <c r="J74" s="93"/>
      <c r="K74" s="93"/>
    </row>
    <row r="75" spans="2:11">
      <c r="B75" s="93"/>
      <c r="C75" s="93"/>
      <c r="D75" s="93"/>
      <c r="E75" s="93"/>
      <c r="F75" s="93"/>
      <c r="G75" s="93"/>
      <c r="H75" s="93"/>
      <c r="I75" s="93"/>
      <c r="J75" s="93"/>
      <c r="K75" s="93"/>
    </row>
    <row r="76" spans="2:11">
      <c r="B76" s="93"/>
      <c r="C76" s="93"/>
      <c r="D76" s="93"/>
      <c r="E76" s="93"/>
      <c r="F76" s="93"/>
      <c r="G76" s="93"/>
      <c r="H76" s="93"/>
      <c r="I76" s="93"/>
      <c r="J76" s="93"/>
      <c r="K76" s="93"/>
    </row>
  </sheetData>
  <mergeCells count="27">
    <mergeCell ref="T36:U36"/>
    <mergeCell ref="R47:S47"/>
    <mergeCell ref="T47:U47"/>
    <mergeCell ref="B63:K63"/>
    <mergeCell ref="B65:K65"/>
    <mergeCell ref="B61:K61"/>
    <mergeCell ref="B62:K62"/>
    <mergeCell ref="B58:K58"/>
    <mergeCell ref="B59:K59"/>
    <mergeCell ref="B60:K60"/>
    <mergeCell ref="B57:K57"/>
    <mergeCell ref="B53:K53"/>
    <mergeCell ref="B54:K54"/>
    <mergeCell ref="B55:K55"/>
    <mergeCell ref="B56:K56"/>
    <mergeCell ref="B72:K72"/>
    <mergeCell ref="B64:K64"/>
    <mergeCell ref="B66:K66"/>
    <mergeCell ref="B71:K71"/>
    <mergeCell ref="B70:K70"/>
    <mergeCell ref="B69:K69"/>
    <mergeCell ref="B67:K67"/>
    <mergeCell ref="B68:K68"/>
    <mergeCell ref="B76:K76"/>
    <mergeCell ref="B75:K75"/>
    <mergeCell ref="B74:K74"/>
    <mergeCell ref="B73:K73"/>
  </mergeCells>
  <phoneticPr fontId="1" type="noConversion"/>
  <hyperlinks>
    <hyperlink ref="B58:I58" r:id="rId1" display="https://www.gameone.kr/league/board/view?lig_idx=972&amp;board_idx=6407&amp;search_method=T&amp;page=1&amp;post_idx=648167" xr:uid="{3883355E-3A03-4F9B-8CAD-C7DEC9701AEF}"/>
    <hyperlink ref="B59:I59" r:id="rId2" display="https://www.gameone.kr/league/board/view?lig_idx=972&amp;board_idx=6407&amp;search_method=T&amp;page=1&amp;post_idx=705931" xr:uid="{3A3D45E7-4943-47F7-AA57-9F4D9E35F4DC}"/>
    <hyperlink ref="B60:I60" r:id="rId3" display="https://www.gameone.kr/league/board/view?lig_idx=972&amp;board_idx=6407&amp;search_method=T&amp;page=1&amp;post_idx=705930" xr:uid="{01B09325-3B0D-4E9D-B1F3-D758F95BC917}"/>
    <hyperlink ref="B61:I61" r:id="rId4" display="https://www.gameone.kr/league/board/view?lig_idx=972&amp;board_idx=6407&amp;search_method=T&amp;page=1&amp;post_idx=758721" xr:uid="{4613BAE2-F2C3-41F9-9F17-51AD5ED9DF6C}"/>
    <hyperlink ref="B62:I62" r:id="rId5" display="https://www.instagram.com/p/CocSjXqLQ9X/?utm_source=ig_web_copy_link&amp;igsh=NTc4MTIwNjQ2YQ==" xr:uid="{4F5C6DFE-4411-4821-8451-21325D4701DA}"/>
    <hyperlink ref="B64:I64" r:id="rId6" display="https://www.instagram.com/p/DFooW0ih0k8/?utm_source=ig_web_copy_link&amp;igsh=MzRlODBiNWFlZA==" xr:uid="{23D0825C-900A-4C06-B086-87618FA1F781}"/>
    <hyperlink ref="B76:I76" r:id="rId7" display="https://www.gameone.kr/league/board/view?lig_idx=972&amp;board_idx=6399&amp;page=5&amp;post_idx=809633" xr:uid="{45DF31C5-8AC3-40A3-9009-6404CFD6E779}"/>
    <hyperlink ref="B74:H74" r:id="rId8" display="https://www.gameone.kr/league/board/view?lig_idx=972&amp;board_idx=6399&amp;page=6&amp;post_idx=770674" xr:uid="{F0745CBC-A653-45C9-B9DF-E803AE9D0BC1}"/>
    <hyperlink ref="B73:I73" r:id="rId9" display="https://www.gameone.kr/league/board/view?lig_idx=972&amp;board_idx=6399&amp;page=7&amp;post_idx=709160" xr:uid="{F754F0CE-B2AB-43D7-8A5A-30C82BC87ECE}"/>
    <hyperlink ref="B71:I71" r:id="rId10" display="https://www.gameone.kr/league/board/view?lig_idx=972&amp;board_idx=6399&amp;page=9&amp;post_idx=655104" xr:uid="{4C2572A7-8527-4722-8499-D2B122C7B69D}"/>
    <hyperlink ref="B72:I72" r:id="rId11" display="https://www.gameone.kr/league/board/view?lig_idx=972&amp;board_idx=6399&amp;page=8&amp;post_idx=672746" xr:uid="{A7A579AB-9802-4776-8D07-D52E0B7F5125}"/>
    <hyperlink ref="B70:I70" r:id="rId12" display="https://www.gameone.kr/league/board/view?lig_idx=972&amp;board_idx=6399&amp;page=10&amp;post_idx=600321" xr:uid="{7C3C21E7-00B4-4B45-96C4-6C0D05D0274C}"/>
    <hyperlink ref="B69:I69" r:id="rId13" display="https://www.gameone.kr/league/board/view?lig_idx=972&amp;board_idx=6399&amp;page=10&amp;post_idx=599370" xr:uid="{0061DA7A-FF9A-48F1-BB8B-A99B7E9ADBD0}"/>
    <hyperlink ref="B68:J68" r:id="rId14" display="https://www.gameone.kr/league/board/view?lig_idx=972&amp;board_idx=6399&amp;page=12&amp;post_idx=540395" xr:uid="{F73E7D8C-1546-4904-82D1-79293C793D27}"/>
    <hyperlink ref="B67:J67" r:id="rId15" display="https://www.gameone.kr/league/board/view?lig_idx=972&amp;board_idx=6399&amp;page=12&amp;post_idx=528680" xr:uid="{6D11A2B7-510B-4FF1-ADCA-D98E74E356A0}"/>
    <hyperlink ref="B65:K65" r:id="rId16" display="https://www.gameone.kr/league/board/view?lig_idx=972&amp;board_idx=6399&amp;page=15&amp;post_idx=404195" xr:uid="{BC9FBEC1-BEFA-4D35-A306-497EBBA4F7FD}"/>
    <hyperlink ref="B66:J66" r:id="rId17" display="https://www.gameone.kr/league/board/view?lig_idx=972&amp;board_idx=6399&amp;page=13&amp;post_idx=472093" xr:uid="{8AABDF1C-90B7-4A43-9EAB-30E0EFA97690}"/>
    <hyperlink ref="B75:J75" r:id="rId18" display="https://www.gameone.kr/league/board/view?lig_idx=972&amp;board_idx=6399&amp;page=6&amp;post_idx=770735" xr:uid="{B11EBEA9-D484-40AA-B926-2736EF00EE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512D-26BF-45AB-ABEA-8A6FEAAC98E1}">
  <sheetPr>
    <pageSetUpPr autoPageBreaks="0"/>
  </sheetPr>
  <dimension ref="A1:AM60"/>
  <sheetViews>
    <sheetView zoomScale="55" zoomScaleNormal="55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AN4" sqref="AN4"/>
    </sheetView>
  </sheetViews>
  <sheetFormatPr baseColWidth="10" defaultColWidth="8.83203125" defaultRowHeight="17"/>
  <cols>
    <col min="20" max="20" width="8.83203125" style="1"/>
    <col min="22" max="23" width="8.83203125" style="1"/>
    <col min="26" max="28" width="8.83203125" style="1"/>
  </cols>
  <sheetData>
    <row r="1" spans="1:39" ht="46.75" customHeight="1">
      <c r="A1" s="103" t="s">
        <v>168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4"/>
    </row>
    <row r="2" spans="1:39" ht="39" customHeight="1">
      <c r="A2" s="111" t="s">
        <v>127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2"/>
    </row>
    <row r="3" spans="1:39" ht="39.5" customHeight="1">
      <c r="A3" s="46" t="s">
        <v>80</v>
      </c>
      <c r="B3" s="131" t="s">
        <v>73</v>
      </c>
      <c r="C3" s="131"/>
      <c r="D3" s="131"/>
      <c r="E3" s="131"/>
      <c r="F3" s="131"/>
      <c r="G3" s="129" t="s">
        <v>43</v>
      </c>
      <c r="H3" s="129"/>
      <c r="I3" s="129"/>
      <c r="J3" s="129"/>
      <c r="K3" s="130"/>
      <c r="L3" s="46" t="s">
        <v>44</v>
      </c>
      <c r="M3" s="48" t="s">
        <v>61</v>
      </c>
      <c r="N3" s="46" t="s">
        <v>59</v>
      </c>
      <c r="O3" s="61" t="s">
        <v>60</v>
      </c>
      <c r="P3" s="59" t="s">
        <v>58</v>
      </c>
      <c r="Q3" s="115" t="s">
        <v>113</v>
      </c>
      <c r="R3" s="116"/>
      <c r="S3" s="116"/>
      <c r="T3" s="129" t="s">
        <v>46</v>
      </c>
      <c r="U3" s="129"/>
      <c r="V3" s="129"/>
      <c r="W3" s="46" t="s">
        <v>56</v>
      </c>
      <c r="X3" s="46" t="s">
        <v>55</v>
      </c>
      <c r="Y3" s="58" t="s">
        <v>54</v>
      </c>
      <c r="Z3" s="47" t="s">
        <v>125</v>
      </c>
      <c r="AA3" s="58" t="s">
        <v>42</v>
      </c>
      <c r="AB3" s="47" t="s">
        <v>41</v>
      </c>
      <c r="AC3" s="115" t="s">
        <v>139</v>
      </c>
      <c r="AD3" s="116"/>
      <c r="AE3" s="116"/>
      <c r="AF3" s="117"/>
    </row>
    <row r="4" spans="1:39" ht="17.5" customHeight="1">
      <c r="A4" s="29" t="s">
        <v>62</v>
      </c>
      <c r="B4" s="105" t="s">
        <v>128</v>
      </c>
      <c r="C4" s="105"/>
      <c r="D4" s="105"/>
      <c r="E4" s="105"/>
      <c r="F4" s="105"/>
      <c r="G4" s="134" t="s">
        <v>128</v>
      </c>
      <c r="H4" s="135"/>
      <c r="I4" s="135"/>
      <c r="J4" s="135"/>
      <c r="K4" s="136"/>
      <c r="L4" s="30" cm="1">
        <f t="array" ref="L4">SUMPRODUCT(ISNUMBER(FIND("으뜸우승", '2004~2025 시즌 결과'!$B2:$L2))*1)</f>
        <v>0</v>
      </c>
      <c r="M4" s="30" cm="1">
        <f t="array" ref="M4">SUMPRODUCT(ISNUMBER(FIND("으뜸준우승", '2004~2025 시즌 결과'!$B2:$L2))*1)</f>
        <v>0</v>
      </c>
      <c r="N4" s="30" cm="1">
        <f t="array" ref="N4">SUMPRODUCT(ISNUMBER(FIND("으뜸4강", '2004~2025 시즌 결과'!$B2:$L2))*1)</f>
        <v>0</v>
      </c>
      <c r="O4" s="56" cm="1">
        <f t="array" ref="O4">SUMPRODUCT(ISNUMBER(FIND("으뜸8강", '2004~2025 시즌 결과'!$B2:$L2))*1)</f>
        <v>1</v>
      </c>
      <c r="P4" s="40" cm="1">
        <f t="array" ref="P4">SUMPRODUCT(ISNUMBER(FIND("으뜸16강", '2004~2025 시즌 결과'!$B2:$L2))*1)</f>
        <v>2</v>
      </c>
      <c r="Q4" s="105" t="s">
        <v>128</v>
      </c>
      <c r="R4" s="105"/>
      <c r="S4" s="105"/>
      <c r="T4" s="134" t="s">
        <v>128</v>
      </c>
      <c r="U4" s="134"/>
      <c r="V4" s="134"/>
      <c r="W4" s="30" cm="1">
        <f t="array" ref="W4">SUMPRODUCT(ISNUMBER(FIND("버금4강", '2004~2025 시즌 결과'!$B2:$L2))*1)</f>
        <v>0</v>
      </c>
      <c r="X4" s="31" cm="1">
        <f t="array" ref="X4">SUMPRODUCT(ISNUMBER(FIND("버금8강", '2004~2025 시즌 결과'!$B2:$L2))*1)</f>
        <v>2</v>
      </c>
      <c r="Y4" s="57" cm="1">
        <f t="array" ref="Y4">SUMPRODUCT(ISNUMBER(FIND("버금16강", '2004~2025 시즌 결과'!$B2:$L2))*1)</f>
        <v>0</v>
      </c>
      <c r="Z4" s="38" cm="1">
        <f t="array" ref="Z4">SUM(COUNTIF('2004~2025 시즌 결과'!$B2:$L2, {"*버금23강*","*버금24강*","*버금32강*"}))</f>
        <v>0</v>
      </c>
      <c r="AA4" s="60" cm="1">
        <f t="array" ref="AA4">SUMPRODUCT(ISNUMBER(FIND("으뜸", '2004~2025 시즌 결과'!$B2:$L2))*1)</f>
        <v>3</v>
      </c>
      <c r="AB4" s="42" cm="1">
        <f t="array" ref="AB4">SUMPRODUCT(ISNUMBER(FIND("버금", '2004~2025 시즌 결과'!$B2:$L2))*1)</f>
        <v>2</v>
      </c>
      <c r="AC4" s="113"/>
      <c r="AD4" s="106"/>
      <c r="AE4" s="106"/>
      <c r="AF4" s="114"/>
      <c r="AG4" s="98" t="s">
        <v>159</v>
      </c>
      <c r="AH4" s="98"/>
      <c r="AI4" s="98"/>
      <c r="AJ4" s="98"/>
      <c r="AK4" s="98"/>
      <c r="AL4" s="98"/>
      <c r="AM4" s="98"/>
    </row>
    <row r="5" spans="1:39">
      <c r="A5" s="62" t="s">
        <v>0</v>
      </c>
      <c r="B5" s="92" t="s">
        <v>128</v>
      </c>
      <c r="C5" s="103"/>
      <c r="D5" s="103"/>
      <c r="E5" s="103"/>
      <c r="F5" s="103"/>
      <c r="G5" s="92" t="s">
        <v>128</v>
      </c>
      <c r="H5" s="103"/>
      <c r="I5" s="103"/>
      <c r="J5" s="103"/>
      <c r="K5" s="104"/>
      <c r="L5" s="63" cm="1">
        <f t="array" ref="L5">SUMPRODUCT(ISNUMBER(FIND("으뜸우승", '2004~2025 시즌 결과'!$B3:$L3))*1)</f>
        <v>0</v>
      </c>
      <c r="M5" s="63" cm="1">
        <f t="array" ref="M5">SUMPRODUCT(ISNUMBER(FIND("으뜸준우승", '2004~2025 시즌 결과'!$B3:$L3))*1)</f>
        <v>0</v>
      </c>
      <c r="N5" s="63" cm="1">
        <f t="array" ref="N5">SUMPRODUCT(ISNUMBER(FIND("으뜸4강", '2004~2025 시즌 결과'!$B3:$L3))*1)</f>
        <v>0</v>
      </c>
      <c r="O5" s="63" cm="1">
        <f t="array" ref="O5">SUMPRODUCT(ISNUMBER(FIND("으뜸8강", '2004~2025 시즌 결과'!$B3:$L3))*1)</f>
        <v>0</v>
      </c>
      <c r="P5" s="39" cm="1">
        <f t="array" ref="P5">SUMPRODUCT(ISNUMBER(FIND("으뜸16강", '2004~2025 시즌 결과'!$B3:$L3))*1)</f>
        <v>0</v>
      </c>
      <c r="Q5" s="92" t="s">
        <v>128</v>
      </c>
      <c r="R5" s="92"/>
      <c r="S5" s="92"/>
      <c r="T5" s="92" t="s">
        <v>128</v>
      </c>
      <c r="U5" s="92"/>
      <c r="V5" s="92"/>
      <c r="W5" s="63" cm="1">
        <f t="array" ref="W5">SUMPRODUCT(ISNUMBER(FIND("버금4강", '2004~2025 시즌 결과'!$B3:$L3))*1)</f>
        <v>0</v>
      </c>
      <c r="X5" s="64" cm="1">
        <f t="array" ref="X5">SUMPRODUCT(ISNUMBER(FIND("버금8강", '2004~2025 시즌 결과'!$B3:$L3))*1)</f>
        <v>2</v>
      </c>
      <c r="Y5" s="64" cm="1">
        <f t="array" ref="Y5">SUMPRODUCT(ISNUMBER(FIND("버금16강", '2004~2025 시즌 결과'!$B3:$L3))*1)</f>
        <v>5</v>
      </c>
      <c r="Z5" s="39" cm="1">
        <f t="array" ref="Z5">SUM(COUNTIF('2004~2025 시즌 결과'!$B3:$L3, {"*버금23강*","*버금24강*","*버금32강*"}))</f>
        <v>0</v>
      </c>
      <c r="AA5" s="63" cm="1">
        <f t="array" ref="AA5">SUMPRODUCT(ISNUMBER(FIND("으뜸", '2004~2025 시즌 결과'!$B3:$L3))*1)</f>
        <v>0</v>
      </c>
      <c r="AB5" s="43" cm="1">
        <f t="array" ref="AB5">SUMPRODUCT(ISNUMBER(FIND("버금", '2004~2025 시즌 결과'!$B3:$L3))*1)</f>
        <v>7</v>
      </c>
      <c r="AC5" s="107"/>
      <c r="AD5" s="103"/>
      <c r="AE5" s="103"/>
      <c r="AF5" s="104"/>
      <c r="AG5" s="98"/>
      <c r="AH5" s="98"/>
      <c r="AI5" s="98"/>
      <c r="AJ5" s="98"/>
      <c r="AK5" s="98"/>
      <c r="AL5" s="98"/>
      <c r="AM5" s="98"/>
    </row>
    <row r="6" spans="1:39">
      <c r="A6" s="55" t="s">
        <v>1</v>
      </c>
      <c r="B6" s="105" t="s">
        <v>128</v>
      </c>
      <c r="C6" s="105"/>
      <c r="D6" s="105"/>
      <c r="E6" s="105"/>
      <c r="F6" s="105"/>
      <c r="G6" s="105" t="s">
        <v>128</v>
      </c>
      <c r="H6" s="105"/>
      <c r="I6" s="105"/>
      <c r="J6" s="105"/>
      <c r="K6" s="132"/>
      <c r="L6" s="56" cm="1">
        <f t="array" ref="L6">SUMPRODUCT(ISNUMBER(FIND("으뜸우승", '2004~2025 시즌 결과'!$B4:$L4))*1)</f>
        <v>0</v>
      </c>
      <c r="M6" s="56" cm="1">
        <f t="array" ref="M6">SUMPRODUCT(ISNUMBER(FIND("으뜸준우승", '2004~2025 시즌 결과'!$B4:$L4))*1)</f>
        <v>0</v>
      </c>
      <c r="N6" s="56" cm="1">
        <f t="array" ref="N6">SUMPRODUCT(ISNUMBER(FIND("으뜸4강", '2004~2025 시즌 결과'!$B4:$L4))*1)</f>
        <v>0</v>
      </c>
      <c r="O6" s="56" cm="1">
        <f t="array" ref="O6">SUMPRODUCT(ISNUMBER(FIND("으뜸8강", '2004~2025 시즌 결과'!$B4:$L4))*1)</f>
        <v>0</v>
      </c>
      <c r="P6" s="40" cm="1">
        <f t="array" ref="P6">SUMPRODUCT(ISNUMBER(FIND("으뜸16강", '2004~2025 시즌 결과'!$B4:$L4))*1)</f>
        <v>0</v>
      </c>
      <c r="Q6" s="106" t="s">
        <v>114</v>
      </c>
      <c r="R6" s="106"/>
      <c r="S6" s="106"/>
      <c r="T6" s="105" t="s">
        <v>128</v>
      </c>
      <c r="U6" s="105"/>
      <c r="V6" s="105"/>
      <c r="W6" s="56" cm="1">
        <f t="array" ref="W6">SUMPRODUCT(ISNUMBER(FIND("버금4강", '2004~2025 시즌 결과'!$B4:$L4))*1)</f>
        <v>0</v>
      </c>
      <c r="X6" s="57" cm="1">
        <f t="array" ref="X6">SUMPRODUCT(ISNUMBER(FIND("버금8강", '2004~2025 시즌 결과'!$B4:$L4))*1)</f>
        <v>0</v>
      </c>
      <c r="Y6" s="57" cm="1">
        <f t="array" ref="Y6">SUMPRODUCT(ISNUMBER(FIND("버금16강", '2004~2025 시즌 결과'!$B4:$L4))*1)</f>
        <v>3</v>
      </c>
      <c r="Z6" s="41" cm="1">
        <f t="array" ref="Z6">SUM(COUNTIF('2004~2025 시즌 결과'!$B4:$L4, {"*버금23강*","*버금24강*","*버금32강*"}))</f>
        <v>0</v>
      </c>
      <c r="AA6" s="56" cm="1">
        <f t="array" ref="AA6">SUMPRODUCT(ISNUMBER(FIND("으뜸", '2004~2025 시즌 결과'!$B4:$L4))*1)</f>
        <v>0</v>
      </c>
      <c r="AB6" s="44" cm="1">
        <f t="array" ref="AB6">SUMPRODUCT(ISNUMBER(FIND("버금", '2004~2025 시즌 결과'!$B4:$L4))*1)</f>
        <v>4</v>
      </c>
      <c r="AC6" s="113" t="s">
        <v>140</v>
      </c>
      <c r="AD6" s="106"/>
      <c r="AE6" s="106"/>
      <c r="AF6" s="114"/>
      <c r="AG6" s="98"/>
      <c r="AH6" s="98"/>
      <c r="AI6" s="98"/>
      <c r="AJ6" s="98"/>
      <c r="AK6" s="98"/>
      <c r="AL6" s="98"/>
      <c r="AM6" s="98"/>
    </row>
    <row r="7" spans="1:39">
      <c r="A7" s="62" t="s">
        <v>2</v>
      </c>
      <c r="B7" s="92" t="s">
        <v>128</v>
      </c>
      <c r="C7" s="92"/>
      <c r="D7" s="92"/>
      <c r="E7" s="92"/>
      <c r="F7" s="92"/>
      <c r="G7" s="92" t="s">
        <v>128</v>
      </c>
      <c r="H7" s="92"/>
      <c r="I7" s="92"/>
      <c r="J7" s="92"/>
      <c r="K7" s="133"/>
      <c r="L7" s="63" cm="1">
        <f t="array" ref="L7">SUMPRODUCT(ISNUMBER(FIND("으뜸우승", '2004~2025 시즌 결과'!$B5:$L5))*1)</f>
        <v>0</v>
      </c>
      <c r="M7" s="63" cm="1">
        <f t="array" ref="M7">SUMPRODUCT(ISNUMBER(FIND("으뜸준우승", '2004~2025 시즌 결과'!$B5:$L5))*1)</f>
        <v>0</v>
      </c>
      <c r="N7" s="63" cm="1">
        <f t="array" ref="N7">SUMPRODUCT(ISNUMBER(FIND("으뜸4강", '2004~2025 시즌 결과'!$B5:$L5))*1)</f>
        <v>0</v>
      </c>
      <c r="O7" s="63" cm="1">
        <f t="array" ref="O7">SUMPRODUCT(ISNUMBER(FIND("으뜸8강", '2004~2025 시즌 결과'!$B5:$L5))*1)</f>
        <v>0</v>
      </c>
      <c r="P7" s="39" cm="1">
        <f t="array" ref="P7">SUMPRODUCT(ISNUMBER(FIND("으뜸16강", '2004~2025 시즌 결과'!$B5:$L5))*1)</f>
        <v>2</v>
      </c>
      <c r="Q7" s="92" t="s">
        <v>128</v>
      </c>
      <c r="R7" s="92"/>
      <c r="S7" s="92"/>
      <c r="T7" s="92" t="s">
        <v>128</v>
      </c>
      <c r="U7" s="92"/>
      <c r="V7" s="92"/>
      <c r="W7" s="63" cm="1">
        <f t="array" ref="W7">SUMPRODUCT(ISNUMBER(FIND("버금4강", '2004~2025 시즌 결과'!$B5:$L5))*1)</f>
        <v>0</v>
      </c>
      <c r="X7" s="64" cm="1">
        <f t="array" ref="X7">SUMPRODUCT(ISNUMBER(FIND("버금8강", '2004~2025 시즌 결과'!$B5:$L5))*1)</f>
        <v>1</v>
      </c>
      <c r="Y7" s="64" cm="1">
        <f t="array" ref="Y7">SUMPRODUCT(ISNUMBER(FIND("버금16강", '2004~2025 시즌 결과'!$B5:$L5))*1)</f>
        <v>2</v>
      </c>
      <c r="Z7" s="39" cm="1">
        <f t="array" ref="Z7">SUM(COUNTIF('2004~2025 시즌 결과'!$B5:$L5, {"*버금23강*","*버금24강*","*버금32강*"}))</f>
        <v>0</v>
      </c>
      <c r="AA7" s="63" cm="1">
        <f t="array" ref="AA7">SUMPRODUCT(ISNUMBER(FIND("으뜸", '2004~2025 시즌 결과'!$B5:$L5))*1)</f>
        <v>2</v>
      </c>
      <c r="AB7" s="43" cm="1">
        <f t="array" ref="AB7">SUMPRODUCT(ISNUMBER(FIND("버금", '2004~2025 시즌 결과'!$B5:$L5))*1)</f>
        <v>3</v>
      </c>
      <c r="AC7" s="107" t="s">
        <v>142</v>
      </c>
      <c r="AD7" s="103"/>
      <c r="AE7" s="103"/>
      <c r="AF7" s="104"/>
      <c r="AG7" s="98"/>
      <c r="AH7" s="98"/>
      <c r="AI7" s="98"/>
      <c r="AJ7" s="98"/>
      <c r="AK7" s="98"/>
      <c r="AL7" s="98"/>
      <c r="AM7" s="98"/>
    </row>
    <row r="8" spans="1:39">
      <c r="A8" s="55" t="s">
        <v>3</v>
      </c>
      <c r="B8" s="127" t="s">
        <v>81</v>
      </c>
      <c r="C8" s="127"/>
      <c r="D8" s="127"/>
      <c r="E8" s="127"/>
      <c r="F8" s="127"/>
      <c r="G8" s="126" t="s">
        <v>132</v>
      </c>
      <c r="H8" s="126"/>
      <c r="I8" s="126"/>
      <c r="J8" s="126"/>
      <c r="K8" s="128"/>
      <c r="L8" s="56" cm="1">
        <f t="array" ref="L8">SUMPRODUCT(ISNUMBER(FIND("으뜸우승", '2004~2025 시즌 결과'!$B6:$L6))*1)</f>
        <v>0</v>
      </c>
      <c r="M8" s="56" cm="1">
        <f t="array" ref="M8">SUMPRODUCT(ISNUMBER(FIND("으뜸준우승", '2004~2025 시즌 결과'!$B6:$L6))*1)</f>
        <v>1</v>
      </c>
      <c r="N8" s="65" cm="1">
        <f t="array" ref="N8">SUMPRODUCT(ISNUMBER(FIND("으뜸4강", '2004~2025 시즌 결과'!$B6:$L6))*1)</f>
        <v>3</v>
      </c>
      <c r="O8" s="56" cm="1">
        <f t="array" ref="O8">SUMPRODUCT(ISNUMBER(FIND("으뜸8강", '2004~2025 시즌 결과'!$B6:$L6))*1)</f>
        <v>1</v>
      </c>
      <c r="P8" s="40" cm="1">
        <f t="array" ref="P8">SUMPRODUCT(ISNUMBER(FIND("으뜸16강", '2004~2025 시즌 결과'!$B6:$L6))*1)</f>
        <v>5</v>
      </c>
      <c r="Q8" s="105" t="s">
        <v>128</v>
      </c>
      <c r="R8" s="105"/>
      <c r="S8" s="105"/>
      <c r="T8" s="105" t="s">
        <v>128</v>
      </c>
      <c r="U8" s="105"/>
      <c r="V8" s="105"/>
      <c r="W8" s="56" cm="1">
        <f t="array" ref="W8">SUMPRODUCT(ISNUMBER(FIND("버금4강", '2004~2025 시즌 결과'!$B6:$L6))*1)</f>
        <v>0</v>
      </c>
      <c r="X8" s="57" cm="1">
        <f t="array" ref="X8">SUMPRODUCT(ISNUMBER(FIND("버금8강", '2004~2025 시즌 결과'!$B6:$L6))*1)</f>
        <v>0</v>
      </c>
      <c r="Y8" s="57" cm="1">
        <f t="array" ref="Y8">SUMPRODUCT(ISNUMBER(FIND("버금16강", '2004~2025 시즌 결과'!$B6:$L6))*1)</f>
        <v>0</v>
      </c>
      <c r="Z8" s="40" cm="1">
        <f t="array" ref="Z8">SUM(COUNTIF('2004~2025 시즌 결과'!$B6:$L6, {"*버금23강*","*버금24강*","*버금32강*"}))</f>
        <v>0</v>
      </c>
      <c r="AA8" s="56" cm="1">
        <f t="array" ref="AA8">SUMPRODUCT(ISNUMBER(FIND("으뜸", '2004~2025 시즌 결과'!$B6:$L6))*1)</f>
        <v>10</v>
      </c>
      <c r="AB8" s="44" cm="1">
        <f t="array" ref="AB8">SUMPRODUCT(ISNUMBER(FIND("버금", '2004~2025 시즌 결과'!$B6:$L6))*1)</f>
        <v>0</v>
      </c>
      <c r="AC8" s="113" t="s">
        <v>143</v>
      </c>
      <c r="AD8" s="106"/>
      <c r="AE8" s="106"/>
      <c r="AF8" s="114"/>
      <c r="AG8" s="98"/>
      <c r="AH8" s="98"/>
      <c r="AI8" s="98"/>
      <c r="AJ8" s="98"/>
      <c r="AK8" s="98"/>
      <c r="AL8" s="98"/>
      <c r="AM8" s="98"/>
    </row>
    <row r="9" spans="1:39">
      <c r="A9" s="62" t="s">
        <v>4</v>
      </c>
      <c r="B9" s="103" t="s">
        <v>90</v>
      </c>
      <c r="C9" s="103"/>
      <c r="D9" s="103"/>
      <c r="E9" s="103"/>
      <c r="F9" s="103"/>
      <c r="G9" s="103" t="s">
        <v>112</v>
      </c>
      <c r="H9" s="103"/>
      <c r="I9" s="103"/>
      <c r="J9" s="103"/>
      <c r="K9" s="104"/>
      <c r="L9" s="63" cm="1">
        <f t="array" ref="L9">SUMPRODUCT(ISNUMBER(FIND("으뜸우승", '2004~2025 시즌 결과'!$B7:$L7))*1)</f>
        <v>1</v>
      </c>
      <c r="M9" s="63" cm="1">
        <f t="array" ref="M9">SUMPRODUCT(ISNUMBER(FIND("으뜸준우승", '2004~2025 시즌 결과'!$B7:$L7))*1)</f>
        <v>1</v>
      </c>
      <c r="N9" s="63" cm="1">
        <f t="array" ref="N9">SUMPRODUCT(ISNUMBER(FIND("으뜸4강", '2004~2025 시즌 결과'!$B7:$L7))*1)</f>
        <v>0</v>
      </c>
      <c r="O9" s="63" cm="1">
        <f t="array" ref="O9">SUMPRODUCT(ISNUMBER(FIND("으뜸8강", '2004~2025 시즌 결과'!$B7:$L7))*1)</f>
        <v>2</v>
      </c>
      <c r="P9" s="39" cm="1">
        <f t="array" ref="P9">SUMPRODUCT(ISNUMBER(FIND("으뜸16강", '2004~2025 시즌 결과'!$B7:$L7))*1)</f>
        <v>3</v>
      </c>
      <c r="Q9" s="103" t="s">
        <v>115</v>
      </c>
      <c r="R9" s="103"/>
      <c r="S9" s="103"/>
      <c r="T9" s="92" t="s">
        <v>128</v>
      </c>
      <c r="U9" s="92"/>
      <c r="V9" s="92"/>
      <c r="W9" s="63" cm="1">
        <f t="array" ref="W9">SUMPRODUCT(ISNUMBER(FIND("버금4강", '2004~2025 시즌 결과'!$B7:$L7))*1)</f>
        <v>0</v>
      </c>
      <c r="X9" s="64" cm="1">
        <f t="array" ref="X9">SUMPRODUCT(ISNUMBER(FIND("버금8강", '2004~2025 시즌 결과'!$B7:$L7))*1)</f>
        <v>1</v>
      </c>
      <c r="Y9" s="64" cm="1">
        <f t="array" ref="Y9">SUMPRODUCT(ISNUMBER(FIND("버금16강", '2004~2025 시즌 결과'!$B7:$L7))*1)</f>
        <v>2</v>
      </c>
      <c r="Z9" s="39" cm="1">
        <f t="array" ref="Z9">SUM(COUNTIF('2004~2025 시즌 결과'!$B7:$L7, {"*버금23강*","*버금24강*","*버금32강*"}))</f>
        <v>0</v>
      </c>
      <c r="AA9" s="63" cm="1">
        <f t="array" ref="AA9">SUMPRODUCT(ISNUMBER(FIND("으뜸", '2004~2025 시즌 결과'!$B7:$L7))*1)</f>
        <v>7</v>
      </c>
      <c r="AB9" s="43" cm="1">
        <f t="array" ref="AB9">SUMPRODUCT(ISNUMBER(FIND("버금", '2004~2025 시즌 결과'!$B7:$L7))*1)</f>
        <v>3</v>
      </c>
      <c r="AC9" s="107" t="s">
        <v>144</v>
      </c>
      <c r="AD9" s="103"/>
      <c r="AE9" s="103"/>
      <c r="AF9" s="104"/>
      <c r="AG9" s="98"/>
      <c r="AH9" s="98"/>
      <c r="AI9" s="98"/>
      <c r="AJ9" s="98"/>
      <c r="AK9" s="98"/>
      <c r="AL9" s="98"/>
      <c r="AM9" s="98"/>
    </row>
    <row r="10" spans="1:39">
      <c r="A10" s="55" t="s">
        <v>5</v>
      </c>
      <c r="B10" s="106" t="s">
        <v>88</v>
      </c>
      <c r="C10" s="106"/>
      <c r="D10" s="106"/>
      <c r="E10" s="106"/>
      <c r="F10" s="106"/>
      <c r="G10" s="106" t="s">
        <v>102</v>
      </c>
      <c r="H10" s="106"/>
      <c r="I10" s="106"/>
      <c r="J10" s="103" t="s">
        <v>104</v>
      </c>
      <c r="K10" s="104"/>
      <c r="L10" s="56" cm="1">
        <f t="array" ref="L10">SUMPRODUCT(ISNUMBER(FIND("으뜸우승", '2004~2025 시즌 결과'!$B8:$L8))*1)</f>
        <v>0</v>
      </c>
      <c r="M10" s="65" cm="1">
        <f t="array" ref="M10">SUMPRODUCT(ISNUMBER(FIND("으뜸준우승", '2004~2025 시즌 결과'!$B8:$L8))*1)</f>
        <v>2</v>
      </c>
      <c r="N10" s="56" cm="1">
        <f t="array" ref="N10">SUMPRODUCT(ISNUMBER(FIND("으뜸4강", '2004~2025 시즌 결과'!$B8:$L8))*1)</f>
        <v>2</v>
      </c>
      <c r="O10" s="65" cm="1">
        <f t="array" ref="O10">SUMPRODUCT(ISNUMBER(FIND("으뜸8강", '2004~2025 시즌 결과'!$B8:$L8))*1)</f>
        <v>3</v>
      </c>
      <c r="P10" s="40" cm="1">
        <f t="array" ref="P10">SUMPRODUCT(ISNUMBER(FIND("으뜸16강", '2004~2025 시즌 결과'!$B8:$L8))*1)</f>
        <v>3</v>
      </c>
      <c r="Q10" s="105" t="s">
        <v>128</v>
      </c>
      <c r="R10" s="105"/>
      <c r="S10" s="105"/>
      <c r="T10" s="105" t="s">
        <v>128</v>
      </c>
      <c r="U10" s="105"/>
      <c r="V10" s="105"/>
      <c r="W10" s="56" cm="1">
        <f t="array" ref="W10">SUMPRODUCT(ISNUMBER(FIND("버금4강", '2004~2025 시즌 결과'!$B8:$L8))*1)</f>
        <v>0</v>
      </c>
      <c r="X10" s="57" cm="1">
        <f t="array" ref="X10">SUMPRODUCT(ISNUMBER(FIND("버금8강", '2004~2025 시즌 결과'!$B8:$L8))*1)</f>
        <v>0</v>
      </c>
      <c r="Y10" s="57" cm="1">
        <f t="array" ref="Y10">SUMPRODUCT(ISNUMBER(FIND("버금16강", '2004~2025 시즌 결과'!$B8:$L8))*1)</f>
        <v>0</v>
      </c>
      <c r="Z10" s="40" cm="1">
        <f t="array" ref="Z10">SUM(COUNTIF('2004~2025 시즌 결과'!$B8:$L8, {"*버금23강*","*버금24강*","*버금32강*"}))</f>
        <v>0</v>
      </c>
      <c r="AA10" s="65" cm="1">
        <f t="array" ref="AA10">SUMPRODUCT(ISNUMBER(FIND("으뜸", '2004~2025 시즌 결과'!$B8:$L8))*1)</f>
        <v>10</v>
      </c>
      <c r="AB10" s="44" cm="1">
        <f t="array" ref="AB10">SUMPRODUCT(ISNUMBER(FIND("버금", '2004~2025 시즌 결과'!$B8:$L8))*1)</f>
        <v>0</v>
      </c>
      <c r="AC10" s="113" t="s">
        <v>152</v>
      </c>
      <c r="AD10" s="106"/>
      <c r="AE10" s="106"/>
      <c r="AF10" s="114"/>
      <c r="AG10" s="98"/>
      <c r="AH10" s="98"/>
      <c r="AI10" s="98"/>
      <c r="AJ10" s="98"/>
      <c r="AK10" s="98"/>
      <c r="AL10" s="98"/>
      <c r="AM10" s="98"/>
    </row>
    <row r="11" spans="1:39">
      <c r="A11" s="62" t="s">
        <v>6</v>
      </c>
      <c r="B11" s="92" t="s">
        <v>128</v>
      </c>
      <c r="C11" s="92"/>
      <c r="D11" s="92"/>
      <c r="E11" s="92"/>
      <c r="F11" s="92"/>
      <c r="G11" s="103" t="s">
        <v>103</v>
      </c>
      <c r="H11" s="103"/>
      <c r="I11" s="103"/>
      <c r="J11" s="103"/>
      <c r="K11" s="104"/>
      <c r="L11" s="63" cm="1">
        <f t="array" ref="L11">SUMPRODUCT(ISNUMBER(FIND("으뜸우승", '2004~2025 시즌 결과'!$B9:$L9))*1)</f>
        <v>0</v>
      </c>
      <c r="M11" s="63" cm="1">
        <f t="array" ref="M11">SUMPRODUCT(ISNUMBER(FIND("으뜸준우승", '2004~2025 시즌 결과'!$B9:$L9))*1)</f>
        <v>0</v>
      </c>
      <c r="N11" s="63" cm="1">
        <f t="array" ref="N11">SUMPRODUCT(ISNUMBER(FIND("으뜸4강", '2004~2025 시즌 결과'!$B9:$L9))*1)</f>
        <v>3</v>
      </c>
      <c r="O11" s="63" cm="1">
        <f t="array" ref="O11">SUMPRODUCT(ISNUMBER(FIND("으뜸8강", '2004~2025 시즌 결과'!$B9:$L9))*1)</f>
        <v>0</v>
      </c>
      <c r="P11" s="39" cm="1">
        <f t="array" ref="P11">SUMPRODUCT(ISNUMBER(FIND("으뜸16강", '2004~2025 시즌 결과'!$B9:$L9))*1)</f>
        <v>2</v>
      </c>
      <c r="Q11" s="92" t="s">
        <v>169</v>
      </c>
      <c r="R11" s="92"/>
      <c r="S11" s="92"/>
      <c r="T11" s="92" t="s">
        <v>128</v>
      </c>
      <c r="U11" s="92"/>
      <c r="V11" s="92"/>
      <c r="W11" s="63" cm="1">
        <f t="array" ref="W11">SUMPRODUCT(ISNUMBER(FIND("버금4강", '2004~2025 시즌 결과'!$B9:$L9))*1)</f>
        <v>1</v>
      </c>
      <c r="X11" s="64" cm="1">
        <f t="array" ref="X11">SUMPRODUCT(ISNUMBER(FIND("버금8강", '2004~2025 시즌 결과'!$B9:$L9))*1)</f>
        <v>0</v>
      </c>
      <c r="Y11" s="64" cm="1">
        <f t="array" ref="Y11">SUMPRODUCT(ISNUMBER(FIND("버금16강", '2004~2025 시즌 결과'!$B9:$L9))*1)</f>
        <v>3</v>
      </c>
      <c r="Z11" s="39" cm="1">
        <f t="array" ref="Z11">SUM(COUNTIF('2004~2025 시즌 결과'!$B9:$L9, {"*버금23강*","*버금24강*","*버금32강*"}))</f>
        <v>0</v>
      </c>
      <c r="AA11" s="63" cm="1">
        <f t="array" ref="AA11">SUMPRODUCT(ISNUMBER(FIND("으뜸", '2004~2025 시즌 결과'!$B9:$L9))*1)</f>
        <v>5</v>
      </c>
      <c r="AB11" s="43" cm="1">
        <f t="array" ref="AB11">SUMPRODUCT(ISNUMBER(FIND("버금", '2004~2025 시즌 결과'!$B9:$L9))*1)</f>
        <v>5</v>
      </c>
      <c r="AC11" s="118" t="s">
        <v>156</v>
      </c>
      <c r="AD11" s="111"/>
      <c r="AE11" s="111"/>
      <c r="AF11" s="112"/>
      <c r="AG11" s="98" t="s">
        <v>171</v>
      </c>
      <c r="AH11" s="98"/>
      <c r="AI11" s="98"/>
      <c r="AJ11" s="98"/>
      <c r="AK11" s="98"/>
      <c r="AL11" s="98"/>
      <c r="AM11" s="98"/>
    </row>
    <row r="12" spans="1:39">
      <c r="A12" s="55" t="s">
        <v>7</v>
      </c>
      <c r="B12" s="106" t="s">
        <v>76</v>
      </c>
      <c r="C12" s="106"/>
      <c r="D12" s="106"/>
      <c r="E12" s="106"/>
      <c r="F12" s="106"/>
      <c r="G12" s="106" t="s">
        <v>97</v>
      </c>
      <c r="H12" s="106"/>
      <c r="I12" s="106"/>
      <c r="J12" s="106"/>
      <c r="K12" s="114"/>
      <c r="L12" s="56" cm="1">
        <f t="array" ref="L12">SUMPRODUCT(ISNUMBER(FIND("으뜸우승", '2004~2025 시즌 결과'!$B10:$L10))*1)</f>
        <v>0</v>
      </c>
      <c r="M12" s="56" cm="1">
        <f t="array" ref="M12">SUMPRODUCT(ISNUMBER(FIND("으뜸준우승", '2004~2025 시즌 결과'!$B10:$L10))*1)</f>
        <v>0</v>
      </c>
      <c r="N12" s="56" cm="1">
        <f t="array" ref="N12">SUMPRODUCT(ISNUMBER(FIND("으뜸4강", '2004~2025 시즌 결과'!$B10:$L10))*1)</f>
        <v>1</v>
      </c>
      <c r="O12" s="56" cm="1">
        <f t="array" ref="O12">SUMPRODUCT(ISNUMBER(FIND("으뜸8강", '2004~2025 시즌 결과'!$B10:$L10))*1)</f>
        <v>2</v>
      </c>
      <c r="P12" s="40" cm="1">
        <f t="array" ref="P12">SUMPRODUCT(ISNUMBER(FIND("으뜸16강", '2004~2025 시즌 결과'!$B10:$L10))*1)</f>
        <v>2</v>
      </c>
      <c r="Q12" s="106" t="s">
        <v>116</v>
      </c>
      <c r="R12" s="106"/>
      <c r="S12" s="106"/>
      <c r="T12" s="126" t="s">
        <v>137</v>
      </c>
      <c r="U12" s="126"/>
      <c r="V12" s="126"/>
      <c r="W12" s="56" cm="1">
        <f t="array" ref="W12">SUMPRODUCT(ISNUMBER(FIND("버금4강", '2004~2025 시즌 결과'!$B10:$L10))*1)</f>
        <v>0</v>
      </c>
      <c r="X12" s="57" cm="1">
        <f t="array" ref="X12">SUMPRODUCT(ISNUMBER(FIND("버금8강", '2004~2025 시즌 결과'!$B10:$L10))*1)</f>
        <v>1</v>
      </c>
      <c r="Y12" s="57" cm="1">
        <f t="array" ref="Y12">SUMPRODUCT(ISNUMBER(FIND("버금16강", '2004~2025 시즌 결과'!$B10:$L10))*1)</f>
        <v>2</v>
      </c>
      <c r="Z12" s="40" cm="1">
        <f t="array" ref="Z12">SUM(COUNTIF('2004~2025 시즌 결과'!$B10:$L10, {"*버금23강*","*버금24강*","*버금32강*"}))</f>
        <v>0</v>
      </c>
      <c r="AA12" s="56" cm="1">
        <f t="array" ref="AA12">SUMPRODUCT(ISNUMBER(FIND("으뜸", '2004~2025 시즌 결과'!$B10:$L10))*1)</f>
        <v>5</v>
      </c>
      <c r="AB12" s="44" cm="1">
        <f t="array" ref="AB12">SUMPRODUCT(ISNUMBER(FIND("버금", '2004~2025 시즌 결과'!$B10:$L10))*1)</f>
        <v>5</v>
      </c>
      <c r="AC12" s="113" t="s">
        <v>141</v>
      </c>
      <c r="AD12" s="106"/>
      <c r="AE12" s="106"/>
      <c r="AF12" s="114"/>
      <c r="AG12" s="98"/>
      <c r="AH12" s="98"/>
      <c r="AI12" s="98"/>
      <c r="AJ12" s="98"/>
      <c r="AK12" s="98"/>
      <c r="AL12" s="98"/>
      <c r="AM12" s="98"/>
    </row>
    <row r="13" spans="1:39">
      <c r="A13" s="62" t="s">
        <v>8</v>
      </c>
      <c r="B13" s="103" t="s">
        <v>84</v>
      </c>
      <c r="C13" s="103"/>
      <c r="D13" s="103"/>
      <c r="E13" s="103"/>
      <c r="F13" s="103"/>
      <c r="G13" s="103" t="s">
        <v>107</v>
      </c>
      <c r="H13" s="103"/>
      <c r="I13" s="103"/>
      <c r="J13" s="103"/>
      <c r="K13" s="104"/>
      <c r="L13" s="63" cm="1">
        <f t="array" ref="L13">SUMPRODUCT(ISNUMBER(FIND("으뜸우승", '2004~2025 시즌 결과'!$B11:$L11))*1)</f>
        <v>0</v>
      </c>
      <c r="M13" s="63" cm="1">
        <f t="array" ref="M13">SUMPRODUCT(ISNUMBER(FIND("으뜸준우승", '2004~2025 시즌 결과'!$B11:$L11))*1)</f>
        <v>0</v>
      </c>
      <c r="N13" s="63" cm="1">
        <f t="array" ref="N13">SUMPRODUCT(ISNUMBER(FIND("으뜸4강", '2004~2025 시즌 결과'!$B11:$L11))*1)</f>
        <v>0</v>
      </c>
      <c r="O13" s="63" cm="1">
        <f t="array" ref="O13">SUMPRODUCT(ISNUMBER(FIND("으뜸8강", '2004~2025 시즌 결과'!$B11:$L11))*1)</f>
        <v>0</v>
      </c>
      <c r="P13" s="39" cm="1">
        <f t="array" ref="P13">SUMPRODUCT(ISNUMBER(FIND("으뜸16강", '2004~2025 시즌 결과'!$B11:$L11))*1)</f>
        <v>1</v>
      </c>
      <c r="Q13" s="92" t="s">
        <v>128</v>
      </c>
      <c r="R13" s="92"/>
      <c r="S13" s="92"/>
      <c r="T13" s="126" t="s">
        <v>138</v>
      </c>
      <c r="U13" s="126"/>
      <c r="V13" s="126"/>
      <c r="W13" s="63" cm="1">
        <f t="array" ref="W13">SUMPRODUCT(ISNUMBER(FIND("버금4강", '2004~2025 시즌 결과'!$B11:$L11))*1)</f>
        <v>2</v>
      </c>
      <c r="X13" s="64" cm="1">
        <f t="array" ref="X13">SUMPRODUCT(ISNUMBER(FIND("버금8강", '2004~2025 시즌 결과'!$B11:$L11))*1)</f>
        <v>1</v>
      </c>
      <c r="Y13" s="64" cm="1">
        <f t="array" ref="Y13">SUMPRODUCT(ISNUMBER(FIND("버금16강", '2004~2025 시즌 결과'!$B11:$L11))*1)</f>
        <v>2</v>
      </c>
      <c r="Z13" s="39" cm="1">
        <f t="array" ref="Z13">SUM(COUNTIF('2004~2025 시즌 결과'!$B11:$L11, {"*버금23강*","*버금24강*","*버금32강*"}))</f>
        <v>0</v>
      </c>
      <c r="AA13" s="63" cm="1">
        <f t="array" ref="AA13">SUMPRODUCT(ISNUMBER(FIND("으뜸", '2004~2025 시즌 결과'!$B11:$L11))*1)</f>
        <v>1</v>
      </c>
      <c r="AB13" s="43" cm="1">
        <f t="array" ref="AB13">SUMPRODUCT(ISNUMBER(FIND("버금", '2004~2025 시즌 결과'!$B11:$L11))*1)</f>
        <v>5</v>
      </c>
      <c r="AC13" s="107" t="s">
        <v>145</v>
      </c>
      <c r="AD13" s="103"/>
      <c r="AE13" s="103"/>
      <c r="AF13" s="104"/>
      <c r="AG13" s="98"/>
      <c r="AH13" s="98"/>
      <c r="AI13" s="98"/>
      <c r="AJ13" s="98"/>
      <c r="AK13" s="98"/>
      <c r="AL13" s="98"/>
      <c r="AM13" s="98"/>
    </row>
    <row r="14" spans="1:39">
      <c r="A14" s="55" t="s">
        <v>9</v>
      </c>
      <c r="B14" s="105" t="s">
        <v>128</v>
      </c>
      <c r="C14" s="105"/>
      <c r="D14" s="105"/>
      <c r="E14" s="105"/>
      <c r="F14" s="105"/>
      <c r="G14" s="106" t="s">
        <v>105</v>
      </c>
      <c r="H14" s="106"/>
      <c r="I14" s="106"/>
      <c r="J14" s="106"/>
      <c r="K14" s="114"/>
      <c r="L14" s="56" cm="1">
        <f t="array" ref="L14">SUMPRODUCT(ISNUMBER(FIND("으뜸우승", '2004~2025 시즌 결과'!$B12:$L12))*1)</f>
        <v>0</v>
      </c>
      <c r="M14" s="56" cm="1">
        <f t="array" ref="M14">SUMPRODUCT(ISNUMBER(FIND("으뜸준우승", '2004~2025 시즌 결과'!$B12:$L12))*1)</f>
        <v>1</v>
      </c>
      <c r="N14" s="56" cm="1">
        <f t="array" ref="N14">SUMPRODUCT(ISNUMBER(FIND("으뜸4강", '2004~2025 시즌 결과'!$B12:$L12))*1)</f>
        <v>1</v>
      </c>
      <c r="O14" s="56" cm="1">
        <f t="array" ref="O14">SUMPRODUCT(ISNUMBER(FIND("으뜸8강", '2004~2025 시즌 결과'!$B12:$L12))*1)</f>
        <v>1</v>
      </c>
      <c r="P14" s="40" cm="1">
        <f t="array" ref="P14">SUMPRODUCT(ISNUMBER(FIND("으뜸16강", '2004~2025 시즌 결과'!$B12:$L12))*1)</f>
        <v>0</v>
      </c>
      <c r="Q14" s="105" t="s">
        <v>128</v>
      </c>
      <c r="R14" s="105"/>
      <c r="S14" s="105"/>
      <c r="T14" s="105" t="s">
        <v>128</v>
      </c>
      <c r="U14" s="105"/>
      <c r="V14" s="105"/>
      <c r="W14" s="56" cm="1">
        <f t="array" ref="W14">SUMPRODUCT(ISNUMBER(FIND("버금4강", '2004~2025 시즌 결과'!$B12:$L12))*1)</f>
        <v>1</v>
      </c>
      <c r="X14" s="57" cm="1">
        <f t="array" ref="X14">SUMPRODUCT(ISNUMBER(FIND("버금8강", '2004~2025 시즌 결과'!$B12:$L12))*1)</f>
        <v>0</v>
      </c>
      <c r="Y14" s="57" cm="1">
        <f t="array" ref="Y14">SUMPRODUCT(ISNUMBER(FIND("버금16강", '2004~2025 시즌 결과'!$B12:$L12))*1)</f>
        <v>5</v>
      </c>
      <c r="Z14" s="40" cm="1">
        <f t="array" ref="Z14">SUM(COUNTIF('2004~2025 시즌 결과'!$B12:$L12, {"*버금23강*","*버금24강*","*버금32강*"}))</f>
        <v>0</v>
      </c>
      <c r="AA14" s="56" cm="1">
        <f t="array" ref="AA14">SUMPRODUCT(ISNUMBER(FIND("으뜸", '2004~2025 시즌 결과'!$B12:$L12))*1)</f>
        <v>3</v>
      </c>
      <c r="AB14" s="44" cm="1">
        <f t="array" ref="AB14">SUMPRODUCT(ISNUMBER(FIND("버금", '2004~2025 시즌 결과'!$B12:$L12))*1)</f>
        <v>6</v>
      </c>
      <c r="AC14" s="113" t="s">
        <v>144</v>
      </c>
      <c r="AD14" s="106"/>
      <c r="AE14" s="106"/>
      <c r="AF14" s="114"/>
      <c r="AG14" s="98"/>
      <c r="AH14" s="98"/>
      <c r="AI14" s="98"/>
      <c r="AJ14" s="98"/>
      <c r="AK14" s="98"/>
      <c r="AL14" s="98"/>
      <c r="AM14" s="98"/>
    </row>
    <row r="15" spans="1:39">
      <c r="A15" s="62" t="s">
        <v>10</v>
      </c>
      <c r="B15" s="103" t="s">
        <v>74</v>
      </c>
      <c r="C15" s="103"/>
      <c r="D15" s="103"/>
      <c r="E15" s="103"/>
      <c r="F15" s="103"/>
      <c r="G15" s="103" t="s">
        <v>92</v>
      </c>
      <c r="H15" s="103"/>
      <c r="I15" s="103"/>
      <c r="J15" s="103"/>
      <c r="K15" s="104"/>
      <c r="L15" s="63" cm="1">
        <f t="array" ref="L15">SUMPRODUCT(ISNUMBER(FIND("으뜸우승", '2004~2025 시즌 결과'!$B13:$L13))*1)</f>
        <v>0</v>
      </c>
      <c r="M15" s="63" cm="1">
        <f t="array" ref="M15">SUMPRODUCT(ISNUMBER(FIND("으뜸준우승", '2004~2025 시즌 결과'!$B13:$L13))*1)</f>
        <v>0</v>
      </c>
      <c r="N15" s="63" cm="1">
        <f t="array" ref="N15">SUMPRODUCT(ISNUMBER(FIND("으뜸4강", '2004~2025 시즌 결과'!$B13:$L13))*1)</f>
        <v>0</v>
      </c>
      <c r="O15" s="63" cm="1">
        <f t="array" ref="O15">SUMPRODUCT(ISNUMBER(FIND("으뜸8강", '2004~2025 시즌 결과'!$B13:$L13))*1)</f>
        <v>1</v>
      </c>
      <c r="P15" s="39" cm="1">
        <f t="array" ref="P15">SUMPRODUCT(ISNUMBER(FIND("으뜸16강", '2004~2025 시즌 결과'!$B13:$L13))*1)</f>
        <v>0</v>
      </c>
      <c r="Q15" s="92" t="s">
        <v>128</v>
      </c>
      <c r="R15" s="92"/>
      <c r="S15" s="92"/>
      <c r="T15" s="103" t="s">
        <v>114</v>
      </c>
      <c r="U15" s="103"/>
      <c r="V15" s="103"/>
      <c r="W15" s="63" cm="1">
        <f t="array" ref="W15">SUMPRODUCT(ISNUMBER(FIND("버금4강", '2004~2025 시즌 결과'!$B13:$L13))*1)</f>
        <v>2</v>
      </c>
      <c r="X15" s="66" cm="1">
        <f t="array" ref="X15">SUMPRODUCT(ISNUMBER(FIND("버금8강", '2004~2025 시즌 결과'!$B13:$L13))*1)</f>
        <v>4</v>
      </c>
      <c r="Y15" s="64" cm="1">
        <f t="array" ref="Y15">SUMPRODUCT(ISNUMBER(FIND("버금16강", '2004~2025 시즌 결과'!$B13:$L13))*1)</f>
        <v>1</v>
      </c>
      <c r="Z15" s="39" cm="1">
        <f t="array" ref="Z15">SUM(COUNTIF('2004~2025 시즌 결과'!$B13:$L13, {"*버금23강*","*버금24강*","*버금32강*"}))</f>
        <v>0</v>
      </c>
      <c r="AA15" s="63" cm="1">
        <f t="array" ref="AA15">SUMPRODUCT(ISNUMBER(FIND("으뜸", '2004~2025 시즌 결과'!$B13:$L13))*1)</f>
        <v>1</v>
      </c>
      <c r="AB15" s="43" cm="1">
        <f t="array" ref="AB15">SUMPRODUCT(ISNUMBER(FIND("버금", '2004~2025 시즌 결과'!$B13:$L13))*1)</f>
        <v>8</v>
      </c>
      <c r="AC15" s="107" t="s">
        <v>143</v>
      </c>
      <c r="AD15" s="103"/>
      <c r="AE15" s="103"/>
      <c r="AF15" s="104"/>
      <c r="AG15" s="98"/>
      <c r="AH15" s="98"/>
      <c r="AI15" s="98"/>
      <c r="AJ15" s="98"/>
      <c r="AK15" s="98"/>
      <c r="AL15" s="98"/>
      <c r="AM15" s="98"/>
    </row>
    <row r="16" spans="1:39">
      <c r="A16" s="55" t="s">
        <v>11</v>
      </c>
      <c r="B16" s="105" t="s">
        <v>128</v>
      </c>
      <c r="C16" s="105"/>
      <c r="D16" s="105"/>
      <c r="E16" s="105"/>
      <c r="F16" s="105"/>
      <c r="G16" s="105" t="s">
        <v>128</v>
      </c>
      <c r="H16" s="105"/>
      <c r="I16" s="105"/>
      <c r="J16" s="105"/>
      <c r="K16" s="132"/>
      <c r="L16" s="56" cm="1">
        <f t="array" ref="L16">SUMPRODUCT(ISNUMBER(FIND("으뜸우승", '2004~2025 시즌 결과'!$B14:$L14))*1)</f>
        <v>0</v>
      </c>
      <c r="M16" s="56" cm="1">
        <f t="array" ref="M16">SUMPRODUCT(ISNUMBER(FIND("으뜸준우승", '2004~2025 시즌 결과'!$B14:$L14))*1)</f>
        <v>0</v>
      </c>
      <c r="N16" s="56" cm="1">
        <f t="array" ref="N16">SUMPRODUCT(ISNUMBER(FIND("으뜸4강", '2004~2025 시즌 결과'!$B14:$L14))*1)</f>
        <v>0</v>
      </c>
      <c r="O16" s="56" cm="1">
        <f t="array" ref="O16">SUMPRODUCT(ISNUMBER(FIND("으뜸8강", '2004~2025 시즌 결과'!$B14:$L14))*1)</f>
        <v>2</v>
      </c>
      <c r="P16" s="40" cm="1">
        <f t="array" ref="P16">SUMPRODUCT(ISNUMBER(FIND("으뜸16강", '2004~2025 시즌 결과'!$B14:$L14))*1)</f>
        <v>4</v>
      </c>
      <c r="Q16" s="105" t="s">
        <v>128</v>
      </c>
      <c r="R16" s="105"/>
      <c r="S16" s="105"/>
      <c r="T16" s="105" t="s">
        <v>128</v>
      </c>
      <c r="U16" s="105"/>
      <c r="V16" s="105"/>
      <c r="W16" s="56" cm="1">
        <f t="array" ref="W16">SUMPRODUCT(ISNUMBER(FIND("버금4강", '2004~2025 시즌 결과'!$B14:$L14))*1)</f>
        <v>0</v>
      </c>
      <c r="X16" s="57" cm="1">
        <f t="array" ref="X16">SUMPRODUCT(ISNUMBER(FIND("버금8강", '2004~2025 시즌 결과'!$B14:$L14))*1)</f>
        <v>1</v>
      </c>
      <c r="Y16" s="66" cm="1">
        <f t="array" ref="Y16">SUMPRODUCT(ISNUMBER(FIND("버금16강", '2004~2025 시즌 결과'!$B14:$L14))*1)</f>
        <v>3</v>
      </c>
      <c r="Z16" s="40" cm="1">
        <f t="array" ref="Z16">SUM(COUNTIF('2004~2025 시즌 결과'!$B14:$L14, {"*버금23강*","*버금24강*","*버금32강*"}))</f>
        <v>0</v>
      </c>
      <c r="AA16" s="56" cm="1">
        <f t="array" ref="AA16">SUMPRODUCT(ISNUMBER(FIND("으뜸", '2004~2025 시즌 결과'!$B14:$L14))*1)</f>
        <v>6</v>
      </c>
      <c r="AB16" s="44" cm="1">
        <f t="array" ref="AB16">SUMPRODUCT(ISNUMBER(FIND("버금", '2004~2025 시즌 결과'!$B14:$L14))*1)</f>
        <v>4</v>
      </c>
      <c r="AC16" s="113" t="s">
        <v>142</v>
      </c>
      <c r="AD16" s="106"/>
      <c r="AE16" s="106"/>
      <c r="AF16" s="114"/>
      <c r="AG16" s="98"/>
      <c r="AH16" s="98"/>
      <c r="AI16" s="98"/>
      <c r="AJ16" s="98"/>
      <c r="AK16" s="98"/>
      <c r="AL16" s="98"/>
      <c r="AM16" s="98"/>
    </row>
    <row r="17" spans="1:37">
      <c r="A17" s="62" t="s">
        <v>12</v>
      </c>
      <c r="B17" s="126" t="s">
        <v>130</v>
      </c>
      <c r="C17" s="126"/>
      <c r="D17" s="126"/>
      <c r="E17" s="126"/>
      <c r="F17" s="126"/>
      <c r="G17" s="103" t="s">
        <v>100</v>
      </c>
      <c r="H17" s="103"/>
      <c r="I17" s="103"/>
      <c r="J17" s="103"/>
      <c r="K17" s="104"/>
      <c r="L17" s="63" cm="1">
        <f t="array" ref="L17">SUMPRODUCT(ISNUMBER(FIND("으뜸우승", '2004~2025 시즌 결과'!$B15:$L15))*1)</f>
        <v>0</v>
      </c>
      <c r="M17" s="63" cm="1">
        <f t="array" ref="M17">SUMPRODUCT(ISNUMBER(FIND("으뜸준우승", '2004~2025 시즌 결과'!$B15:$L15))*1)</f>
        <v>0</v>
      </c>
      <c r="N17" s="63" cm="1">
        <f t="array" ref="N17">SUMPRODUCT(ISNUMBER(FIND("으뜸4강", '2004~2025 시즌 결과'!$B15:$L15))*1)</f>
        <v>0</v>
      </c>
      <c r="O17" s="63" cm="1">
        <f t="array" ref="O17">SUMPRODUCT(ISNUMBER(FIND("으뜸8강", '2004~2025 시즌 결과'!$B15:$L15))*1)</f>
        <v>0</v>
      </c>
      <c r="P17" s="39" cm="1">
        <f t="array" ref="P17">SUMPRODUCT(ISNUMBER(FIND("으뜸16강", '2004~2025 시즌 결과'!$B15:$L15))*1)</f>
        <v>3</v>
      </c>
      <c r="Q17" s="103" t="s">
        <v>117</v>
      </c>
      <c r="R17" s="103"/>
      <c r="S17" s="103"/>
      <c r="T17" s="92" t="s">
        <v>128</v>
      </c>
      <c r="U17" s="92"/>
      <c r="V17" s="92"/>
      <c r="W17" s="63" cm="1">
        <f t="array" ref="W17">SUMPRODUCT(ISNUMBER(FIND("버금4강", '2004~2025 시즌 결과'!$B15:$L15))*1)</f>
        <v>0</v>
      </c>
      <c r="X17" s="64" cm="1">
        <f t="array" ref="X17">SUMPRODUCT(ISNUMBER(FIND("버금8강", '2004~2025 시즌 결과'!$B15:$L15))*1)</f>
        <v>1</v>
      </c>
      <c r="Y17" s="64" cm="1">
        <f t="array" ref="Y17">SUMPRODUCT(ISNUMBER(FIND("버금16강", '2004~2025 시즌 결과'!$B15:$L15))*1)</f>
        <v>4</v>
      </c>
      <c r="Z17" s="39" cm="1">
        <f t="array" ref="Z17">SUM(COUNTIF('2004~2025 시즌 결과'!$B15:$L15, {"*버금23강*","*버금24강*","*버금32강*"}))</f>
        <v>0</v>
      </c>
      <c r="AA17" s="63" cm="1">
        <f t="array" ref="AA17">SUMPRODUCT(ISNUMBER(FIND("으뜸", '2004~2025 시즌 결과'!$B15:$L15))*1)</f>
        <v>3</v>
      </c>
      <c r="AB17" s="43" cm="1">
        <f t="array" ref="AB17">SUMPRODUCT(ISNUMBER(FIND("버금", '2004~2025 시즌 결과'!$B15:$L15))*1)</f>
        <v>5</v>
      </c>
      <c r="AC17" s="107" t="s">
        <v>141</v>
      </c>
      <c r="AD17" s="103"/>
      <c r="AE17" s="103"/>
      <c r="AF17" s="104"/>
      <c r="AJ17" s="1"/>
      <c r="AK17" s="1"/>
    </row>
    <row r="18" spans="1:37">
      <c r="A18" s="55" t="s">
        <v>13</v>
      </c>
      <c r="B18" s="105" t="s">
        <v>128</v>
      </c>
      <c r="C18" s="105"/>
      <c r="D18" s="105"/>
      <c r="E18" s="105"/>
      <c r="F18" s="105"/>
      <c r="G18" s="105" t="s">
        <v>57</v>
      </c>
      <c r="H18" s="105"/>
      <c r="I18" s="105"/>
      <c r="J18" s="105"/>
      <c r="K18" s="132"/>
      <c r="L18" s="56" cm="1">
        <f t="array" ref="L18">SUMPRODUCT(ISNUMBER(FIND("으뜸우승", '2004~2025 시즌 결과'!$B16:$L16))*1)</f>
        <v>0</v>
      </c>
      <c r="M18" s="56" cm="1">
        <f t="array" ref="M18">SUMPRODUCT(ISNUMBER(FIND("으뜸준우승", '2004~2025 시즌 결과'!$B16:$L16))*1)</f>
        <v>0</v>
      </c>
      <c r="N18" s="56" cm="1">
        <f t="array" ref="N18">SUMPRODUCT(ISNUMBER(FIND("으뜸4강", '2004~2025 시즌 결과'!$B16:$L16))*1)</f>
        <v>0</v>
      </c>
      <c r="O18" s="56" cm="1">
        <f t="array" ref="O18">SUMPRODUCT(ISNUMBER(FIND("으뜸8강", '2004~2025 시즌 결과'!$B16:$L16))*1)</f>
        <v>0</v>
      </c>
      <c r="P18" s="40" cm="1">
        <f t="array" ref="P18">SUMPRODUCT(ISNUMBER(FIND("으뜸16강", '2004~2025 시즌 결과'!$B16:$L16))*1)</f>
        <v>1</v>
      </c>
      <c r="Q18" s="105" t="s">
        <v>128</v>
      </c>
      <c r="R18" s="105"/>
      <c r="S18" s="105"/>
      <c r="T18" s="106" t="s">
        <v>117</v>
      </c>
      <c r="U18" s="106"/>
      <c r="V18" s="106"/>
      <c r="W18" s="56" cm="1">
        <f t="array" ref="W18">SUMPRODUCT(ISNUMBER(FIND("버금4강", '2004~2025 시즌 결과'!$B16:$L16))*1)</f>
        <v>1</v>
      </c>
      <c r="X18" s="57" cm="1">
        <f t="array" ref="X18">SUMPRODUCT(ISNUMBER(FIND("버금8강", '2004~2025 시즌 결과'!$B16:$L16))*1)</f>
        <v>0</v>
      </c>
      <c r="Y18" s="66" cm="1">
        <f t="array" ref="Y18">SUMPRODUCT(ISNUMBER(FIND("버금16강", '2004~2025 시즌 결과'!$B16:$L16))*1)</f>
        <v>3</v>
      </c>
      <c r="Z18" s="40" cm="1">
        <f t="array" ref="Z18">SUM(COUNTIF('2004~2025 시즌 결과'!$B16:$L16, {"*버금23강*","*버금24강*","*버금32강*"}))</f>
        <v>0</v>
      </c>
      <c r="AA18" s="56" cm="1">
        <f t="array" ref="AA18">SUMPRODUCT(ISNUMBER(FIND("으뜸", '2004~2025 시즌 결과'!$B16:$L16))*1)</f>
        <v>1</v>
      </c>
      <c r="AB18" s="44" cm="1">
        <f t="array" ref="AB18">SUMPRODUCT(ISNUMBER(FIND("버금", '2004~2025 시즌 결과'!$B16:$L16))*1)</f>
        <v>5</v>
      </c>
      <c r="AC18" s="113" t="s">
        <v>142</v>
      </c>
      <c r="AD18" s="106"/>
      <c r="AE18" s="106"/>
      <c r="AF18" s="114"/>
      <c r="AJ18" s="1"/>
      <c r="AK18" s="1"/>
    </row>
    <row r="19" spans="1:37">
      <c r="A19" s="62" t="s">
        <v>14</v>
      </c>
      <c r="B19" s="92" t="s">
        <v>128</v>
      </c>
      <c r="C19" s="92"/>
      <c r="D19" s="92"/>
      <c r="E19" s="92"/>
      <c r="F19" s="92"/>
      <c r="G19" s="92" t="s">
        <v>57</v>
      </c>
      <c r="H19" s="92"/>
      <c r="I19" s="92"/>
      <c r="J19" s="92"/>
      <c r="K19" s="133"/>
      <c r="L19" s="63" cm="1">
        <f t="array" ref="L19">SUMPRODUCT(ISNUMBER(FIND("으뜸우승", '2004~2025 시즌 결과'!$B17:$L17))*1)</f>
        <v>0</v>
      </c>
      <c r="M19" s="63" cm="1">
        <f t="array" ref="M19">SUMPRODUCT(ISNUMBER(FIND("으뜸준우승", '2004~2025 시즌 결과'!$B17:$L17))*1)</f>
        <v>0</v>
      </c>
      <c r="N19" s="63" cm="1">
        <f t="array" ref="N19">SUMPRODUCT(ISNUMBER(FIND("으뜸4강", '2004~2025 시즌 결과'!$B17:$L17))*1)</f>
        <v>0</v>
      </c>
      <c r="O19" s="63" cm="1">
        <f t="array" ref="O19">SUMPRODUCT(ISNUMBER(FIND("으뜸8강", '2004~2025 시즌 결과'!$B17:$L17))*1)</f>
        <v>1</v>
      </c>
      <c r="P19" s="39" cm="1">
        <f t="array" ref="P19">SUMPRODUCT(ISNUMBER(FIND("으뜸16강", '2004~2025 시즌 결과'!$B17:$L17))*1)</f>
        <v>0</v>
      </c>
      <c r="Q19" s="92" t="s">
        <v>128</v>
      </c>
      <c r="R19" s="92"/>
      <c r="S19" s="92"/>
      <c r="T19" s="92" t="s">
        <v>128</v>
      </c>
      <c r="U19" s="92"/>
      <c r="V19" s="92"/>
      <c r="W19" s="63" cm="1">
        <f t="array" ref="W19">SUMPRODUCT(ISNUMBER(FIND("버금4강", '2004~2025 시즌 결과'!$B17:$L17))*1)</f>
        <v>0</v>
      </c>
      <c r="X19" s="64" cm="1">
        <f t="array" ref="X19">SUMPRODUCT(ISNUMBER(FIND("버금8강", '2004~2025 시즌 결과'!$B17:$L17))*1)</f>
        <v>0</v>
      </c>
      <c r="Y19" s="64" cm="1">
        <f t="array" ref="Y19">SUMPRODUCT(ISNUMBER(FIND("버금16강", '2004~2025 시즌 결과'!$B17:$L17))*1)</f>
        <v>1</v>
      </c>
      <c r="Z19" s="39" cm="1">
        <f t="array" ref="Z19">SUM(COUNTIF('2004~2025 시즌 결과'!$B17:$L17, {"*버금23강*","*버금24강*","*버금32강*"}))</f>
        <v>0</v>
      </c>
      <c r="AA19" s="63" cm="1">
        <f t="array" ref="AA19">SUMPRODUCT(ISNUMBER(FIND("으뜸", '2004~2025 시즌 결과'!$B17:$L17))*1)</f>
        <v>1</v>
      </c>
      <c r="AB19" s="43" cm="1">
        <f t="array" ref="AB19">SUMPRODUCT(ISNUMBER(FIND("버금", '2004~2025 시즌 결과'!$B17:$L17))*1)</f>
        <v>1</v>
      </c>
      <c r="AC19" s="107" t="s">
        <v>147</v>
      </c>
      <c r="AD19" s="103"/>
      <c r="AE19" s="103"/>
      <c r="AF19" s="104"/>
      <c r="AJ19" s="1"/>
      <c r="AK19" s="1"/>
    </row>
    <row r="20" spans="1:37">
      <c r="A20" s="55" t="s">
        <v>15</v>
      </c>
      <c r="B20" s="105" t="s">
        <v>128</v>
      </c>
      <c r="C20" s="105"/>
      <c r="D20" s="105"/>
      <c r="E20" s="105"/>
      <c r="F20" s="105"/>
      <c r="G20" s="105" t="s">
        <v>57</v>
      </c>
      <c r="H20" s="105"/>
      <c r="I20" s="105"/>
      <c r="J20" s="105"/>
      <c r="K20" s="132"/>
      <c r="L20" s="56" cm="1">
        <f t="array" ref="L20">SUMPRODUCT(ISNUMBER(FIND("으뜸우승", '2004~2025 시즌 결과'!$B18:$L18))*1)</f>
        <v>0</v>
      </c>
      <c r="M20" s="56" cm="1">
        <f t="array" ref="M20">SUMPRODUCT(ISNUMBER(FIND("으뜸준우승", '2004~2025 시즌 결과'!$B18:$L18))*1)</f>
        <v>0</v>
      </c>
      <c r="N20" s="56" cm="1">
        <f t="array" ref="N20">SUMPRODUCT(ISNUMBER(FIND("으뜸4강", '2004~2025 시즌 결과'!$B18:$L18))*1)</f>
        <v>0</v>
      </c>
      <c r="O20" s="56" cm="1">
        <f t="array" ref="O20">SUMPRODUCT(ISNUMBER(FIND("으뜸8강", '2004~2025 시즌 결과'!$B18:$L18))*1)</f>
        <v>0</v>
      </c>
      <c r="P20" s="40" cm="1">
        <f t="array" ref="P20">SUMPRODUCT(ISNUMBER(FIND("으뜸16강", '2004~2025 시즌 결과'!$B18:$L18))*1)</f>
        <v>2</v>
      </c>
      <c r="Q20" s="105" t="s">
        <v>128</v>
      </c>
      <c r="R20" s="105"/>
      <c r="S20" s="105"/>
      <c r="T20" s="105" t="s">
        <v>128</v>
      </c>
      <c r="U20" s="105"/>
      <c r="V20" s="105"/>
      <c r="W20" s="56" cm="1">
        <f t="array" ref="W20">SUMPRODUCT(ISNUMBER(FIND("버금4강", '2004~2025 시즌 결과'!$B18:$L18))*1)</f>
        <v>0</v>
      </c>
      <c r="X20" s="57" cm="1">
        <f t="array" ref="X20">SUMPRODUCT(ISNUMBER(FIND("버금8강", '2004~2025 시즌 결과'!$B18:$L18))*1)</f>
        <v>0</v>
      </c>
      <c r="Y20" s="57" cm="1">
        <f t="array" ref="Y20">SUMPRODUCT(ISNUMBER(FIND("버금16강", '2004~2025 시즌 결과'!$B18:$L18))*1)</f>
        <v>3</v>
      </c>
      <c r="Z20" s="40" cm="1">
        <f t="array" ref="Z20">SUM(COUNTIF('2004~2025 시즌 결과'!$B18:$L18, {"*버금23강*","*버금24강*","*버금32강*"}))</f>
        <v>0</v>
      </c>
      <c r="AA20" s="56" cm="1">
        <f t="array" ref="AA20">SUMPRODUCT(ISNUMBER(FIND("으뜸", '2004~2025 시즌 결과'!$B18:$L18))*1)</f>
        <v>2</v>
      </c>
      <c r="AB20" s="44" cm="1">
        <f t="array" ref="AB20">SUMPRODUCT(ISNUMBER(FIND("버금", '2004~2025 시즌 결과'!$B18:$L18))*1)</f>
        <v>3</v>
      </c>
      <c r="AC20" s="113" t="s">
        <v>142</v>
      </c>
      <c r="AD20" s="106"/>
      <c r="AE20" s="106"/>
      <c r="AF20" s="114"/>
      <c r="AJ20" s="1"/>
      <c r="AK20" s="1"/>
    </row>
    <row r="21" spans="1:37" ht="17.5" customHeight="1">
      <c r="A21" s="62" t="s">
        <v>16</v>
      </c>
      <c r="B21" s="92" t="s">
        <v>128</v>
      </c>
      <c r="C21" s="92"/>
      <c r="D21" s="92"/>
      <c r="E21" s="92"/>
      <c r="F21" s="92"/>
      <c r="G21" s="92" t="s">
        <v>57</v>
      </c>
      <c r="H21" s="92"/>
      <c r="I21" s="92"/>
      <c r="J21" s="92"/>
      <c r="K21" s="133"/>
      <c r="L21" s="63" cm="1">
        <f t="array" ref="L21">SUMPRODUCT(ISNUMBER(FIND("으뜸우승", '2004~2025 시즌 결과'!$B19:$L19))*1)</f>
        <v>0</v>
      </c>
      <c r="M21" s="63" cm="1">
        <f t="array" ref="M21">SUMPRODUCT(ISNUMBER(FIND("으뜸준우승", '2004~2025 시즌 결과'!$B19:$L19))*1)</f>
        <v>0</v>
      </c>
      <c r="N21" s="63" cm="1">
        <f t="array" ref="N21">SUMPRODUCT(ISNUMBER(FIND("으뜸4강", '2004~2025 시즌 결과'!$B19:$L19))*1)</f>
        <v>0</v>
      </c>
      <c r="O21" s="63" cm="1">
        <f t="array" ref="O21">SUMPRODUCT(ISNUMBER(FIND("으뜸8강", '2004~2025 시즌 결과'!$B19:$L19))*1)</f>
        <v>1</v>
      </c>
      <c r="P21" s="41" cm="1">
        <f t="array" ref="P21">SUMPRODUCT(ISNUMBER(FIND("으뜸16강", '2004~2025 시즌 결과'!$B19:$L19))*1)</f>
        <v>5</v>
      </c>
      <c r="Q21" s="92" t="s">
        <v>128</v>
      </c>
      <c r="R21" s="92"/>
      <c r="S21" s="92"/>
      <c r="T21" s="92" t="s">
        <v>128</v>
      </c>
      <c r="U21" s="92"/>
      <c r="V21" s="92"/>
      <c r="W21" s="63" cm="1">
        <f t="array" ref="W21">SUMPRODUCT(ISNUMBER(FIND("버금4강", '2004~2025 시즌 결과'!$B19:$L19))*1)</f>
        <v>0</v>
      </c>
      <c r="X21" s="64" cm="1">
        <f t="array" ref="X21">SUMPRODUCT(ISNUMBER(FIND("버금8강", '2004~2025 시즌 결과'!$B19:$L19))*1)</f>
        <v>3</v>
      </c>
      <c r="Y21" s="64" cm="1">
        <f t="array" ref="Y21">SUMPRODUCT(ISNUMBER(FIND("버금16강", '2004~2025 시즌 결과'!$B19:$L19))*1)</f>
        <v>1</v>
      </c>
      <c r="Z21" s="39" cm="1">
        <f t="array" ref="Z21">SUM(COUNTIF('2004~2025 시즌 결과'!$B19:$L19, {"*버금23강*","*버금24강*","*버금32강*"}))</f>
        <v>0</v>
      </c>
      <c r="AA21" s="63" cm="1">
        <f t="array" ref="AA21">SUMPRODUCT(ISNUMBER(FIND("으뜸", '2004~2025 시즌 결과'!$B19:$L19))*1)</f>
        <v>6</v>
      </c>
      <c r="AB21" s="43" cm="1">
        <f t="array" ref="AB21">SUMPRODUCT(ISNUMBER(FIND("버금", '2004~2025 시즌 결과'!$B19:$L19))*1)</f>
        <v>4</v>
      </c>
      <c r="AC21" s="122" t="s">
        <v>158</v>
      </c>
      <c r="AD21" s="123"/>
      <c r="AE21" s="123"/>
      <c r="AF21" s="124"/>
      <c r="AG21" s="54"/>
      <c r="AH21" s="54"/>
      <c r="AI21" s="32"/>
      <c r="AJ21" s="32"/>
      <c r="AK21" s="32"/>
    </row>
    <row r="22" spans="1:37">
      <c r="A22" s="55" t="s">
        <v>17</v>
      </c>
      <c r="B22" s="105" t="s">
        <v>128</v>
      </c>
      <c r="C22" s="105"/>
      <c r="D22" s="105"/>
      <c r="E22" s="105"/>
      <c r="F22" s="105"/>
      <c r="G22" s="105" t="s">
        <v>57</v>
      </c>
      <c r="H22" s="105"/>
      <c r="I22" s="105"/>
      <c r="J22" s="105"/>
      <c r="K22" s="132"/>
      <c r="L22" s="56" cm="1">
        <f t="array" ref="L22">SUMPRODUCT(ISNUMBER(FIND("으뜸우승", '2004~2025 시즌 결과'!$B20:$L20))*1)</f>
        <v>0</v>
      </c>
      <c r="M22" s="56" cm="1">
        <f t="array" ref="M22">SUMPRODUCT(ISNUMBER(FIND("으뜸준우승", '2004~2025 시즌 결과'!$B20:$L20))*1)</f>
        <v>0</v>
      </c>
      <c r="N22" s="56" cm="1">
        <f t="array" ref="N22">SUMPRODUCT(ISNUMBER(FIND("으뜸4강", '2004~2025 시즌 결과'!$B20:$L20))*1)</f>
        <v>0</v>
      </c>
      <c r="O22" s="56" cm="1">
        <f t="array" ref="O22">SUMPRODUCT(ISNUMBER(FIND("으뜸8강", '2004~2025 시즌 결과'!$B20:$L20))*1)</f>
        <v>0</v>
      </c>
      <c r="P22" s="40" cm="1">
        <f t="array" ref="P22">SUMPRODUCT(ISNUMBER(FIND("으뜸16강", '2004~2025 시즌 결과'!$B20:$L20))*1)</f>
        <v>0</v>
      </c>
      <c r="Q22" s="105" t="s">
        <v>128</v>
      </c>
      <c r="R22" s="105"/>
      <c r="S22" s="105"/>
      <c r="T22" s="105" t="s">
        <v>128</v>
      </c>
      <c r="U22" s="105"/>
      <c r="V22" s="105"/>
      <c r="W22" s="56" cm="1">
        <f t="array" ref="W22">SUMPRODUCT(ISNUMBER(FIND("버금4강", '2004~2025 시즌 결과'!$B20:$L20))*1)</f>
        <v>0</v>
      </c>
      <c r="X22" s="57" cm="1">
        <f t="array" ref="X22">SUMPRODUCT(ISNUMBER(FIND("버금8강", '2004~2025 시즌 결과'!$B20:$L20))*1)</f>
        <v>0</v>
      </c>
      <c r="Y22" s="57" cm="1">
        <f t="array" ref="Y22">SUMPRODUCT(ISNUMBER(FIND("버금16강", '2004~2025 시즌 결과'!$B20:$L20))*1)</f>
        <v>0</v>
      </c>
      <c r="Z22" s="40" cm="1">
        <f t="array" ref="Z22">SUM(COUNTIF('2004~2025 시즌 결과'!$B20:$L20, {"*버금23강*","*버금24강*","*버금32강*"}))</f>
        <v>0</v>
      </c>
      <c r="AA22" s="56" cm="1">
        <f t="array" ref="AA22">SUMPRODUCT(ISNUMBER(FIND("으뜸", '2004~2025 시즌 결과'!$B20:$L20))*1)</f>
        <v>0</v>
      </c>
      <c r="AB22" s="44" cm="1">
        <f t="array" ref="AB22">SUMPRODUCT(ISNUMBER(FIND("버금", '2004~2025 시즌 결과'!$B20:$L20))*1)</f>
        <v>0</v>
      </c>
      <c r="AC22" s="113" t="s">
        <v>69</v>
      </c>
      <c r="AD22" s="106"/>
      <c r="AE22" s="106"/>
      <c r="AF22" s="114"/>
      <c r="AJ22" s="1"/>
      <c r="AK22" s="1"/>
    </row>
    <row r="23" spans="1:37">
      <c r="A23" s="62" t="s">
        <v>18</v>
      </c>
      <c r="B23" s="92" t="s">
        <v>128</v>
      </c>
      <c r="C23" s="92"/>
      <c r="D23" s="92"/>
      <c r="E23" s="92"/>
      <c r="F23" s="92"/>
      <c r="G23" s="103" t="s">
        <v>99</v>
      </c>
      <c r="H23" s="103"/>
      <c r="I23" s="103"/>
      <c r="J23" s="103"/>
      <c r="K23" s="104"/>
      <c r="L23" s="63" cm="1">
        <f t="array" ref="L23">SUMPRODUCT(ISNUMBER(FIND("으뜸우승", '2004~2025 시즌 결과'!$B21:$L21))*1)</f>
        <v>0</v>
      </c>
      <c r="M23" s="63" cm="1">
        <f t="array" ref="M23">SUMPRODUCT(ISNUMBER(FIND("으뜸준우승", '2004~2025 시즌 결과'!$B21:$L21))*1)</f>
        <v>0</v>
      </c>
      <c r="N23" s="63" cm="1">
        <f t="array" ref="N23">SUMPRODUCT(ISNUMBER(FIND("으뜸4강", '2004~2025 시즌 결과'!$B21:$L21))*1)</f>
        <v>0</v>
      </c>
      <c r="O23" s="63" cm="1">
        <f t="array" ref="O23">SUMPRODUCT(ISNUMBER(FIND("으뜸8강", '2004~2025 시즌 결과'!$B21:$L21))*1)</f>
        <v>1</v>
      </c>
      <c r="P23" s="39" cm="1">
        <f t="array" ref="P23">SUMPRODUCT(ISNUMBER(FIND("으뜸16강", '2004~2025 시즌 결과'!$B21:$L21))*1)</f>
        <v>3</v>
      </c>
      <c r="Q23" s="103" t="s">
        <v>111</v>
      </c>
      <c r="R23" s="103"/>
      <c r="S23" s="103"/>
      <c r="T23" s="103" t="s">
        <v>122</v>
      </c>
      <c r="U23" s="103"/>
      <c r="V23" s="103"/>
      <c r="W23" s="63" cm="1">
        <f t="array" ref="W23">SUMPRODUCT(ISNUMBER(FIND("버금4강", '2004~2025 시즌 결과'!$B21:$L21))*1)</f>
        <v>1</v>
      </c>
      <c r="X23" s="64" cm="1">
        <f t="array" ref="X23">SUMPRODUCT(ISNUMBER(FIND("버금8강", '2004~2025 시즌 결과'!$B21:$L21))*1)</f>
        <v>0</v>
      </c>
      <c r="Y23" s="64" cm="1">
        <f t="array" ref="Y23">SUMPRODUCT(ISNUMBER(FIND("버금16강", '2004~2025 시즌 결과'!$B21:$L21))*1)</f>
        <v>3</v>
      </c>
      <c r="Z23" s="39" cm="1">
        <f t="array" ref="Z23">SUM(COUNTIF('2004~2025 시즌 결과'!$B21:$L21, {"*버금23강*","*버금24강*","*버금32강*"}))</f>
        <v>0</v>
      </c>
      <c r="AA23" s="63" cm="1">
        <f t="array" ref="AA23">SUMPRODUCT(ISNUMBER(FIND("으뜸", '2004~2025 시즌 결과'!$B21:$L21))*1)</f>
        <v>4</v>
      </c>
      <c r="AB23" s="43" cm="1">
        <f t="array" ref="AB23">SUMPRODUCT(ISNUMBER(FIND("버금", '2004~2025 시즌 결과'!$B21:$L21))*1)</f>
        <v>5</v>
      </c>
      <c r="AC23" s="107" t="s">
        <v>143</v>
      </c>
      <c r="AD23" s="103"/>
      <c r="AE23" s="103"/>
      <c r="AF23" s="104"/>
      <c r="AJ23" s="1"/>
      <c r="AK23" s="1"/>
    </row>
    <row r="24" spans="1:37">
      <c r="A24" s="55" t="s">
        <v>47</v>
      </c>
      <c r="B24" s="105" t="s">
        <v>128</v>
      </c>
      <c r="C24" s="105"/>
      <c r="D24" s="105"/>
      <c r="E24" s="105"/>
      <c r="F24" s="105"/>
      <c r="G24" s="105" t="s">
        <v>128</v>
      </c>
      <c r="H24" s="105"/>
      <c r="I24" s="105"/>
      <c r="J24" s="105"/>
      <c r="K24" s="132"/>
      <c r="L24" s="56" cm="1">
        <f t="array" ref="L24">SUMPRODUCT(ISNUMBER(FIND("으뜸우승", '2004~2025 시즌 결과'!$B22:$L22))*1)</f>
        <v>0</v>
      </c>
      <c r="M24" s="56" cm="1">
        <f t="array" ref="M24">SUMPRODUCT(ISNUMBER(FIND("으뜸준우승", '2004~2025 시즌 결과'!$B22:$L22))*1)</f>
        <v>0</v>
      </c>
      <c r="N24" s="56" cm="1">
        <f t="array" ref="N24">SUMPRODUCT(ISNUMBER(FIND("으뜸4강", '2004~2025 시즌 결과'!$B22:$L22))*1)</f>
        <v>0</v>
      </c>
      <c r="O24" s="56" cm="1">
        <f t="array" ref="O24">SUMPRODUCT(ISNUMBER(FIND("으뜸8강", '2004~2025 시즌 결과'!$B22:$L22))*1)</f>
        <v>0</v>
      </c>
      <c r="P24" s="40" cm="1">
        <f t="array" ref="P24">SUMPRODUCT(ISNUMBER(FIND("으뜸16강", '2004~2025 시즌 결과'!$B22:$L22))*1)</f>
        <v>0</v>
      </c>
      <c r="Q24" s="105" t="s">
        <v>128</v>
      </c>
      <c r="R24" s="105"/>
      <c r="S24" s="105"/>
      <c r="T24" s="105" t="s">
        <v>128</v>
      </c>
      <c r="U24" s="105"/>
      <c r="V24" s="105"/>
      <c r="W24" s="56" cm="1">
        <f t="array" ref="W24">SUMPRODUCT(ISNUMBER(FIND("버금4강", '2004~2025 시즌 결과'!$B22:$L22))*1)</f>
        <v>0</v>
      </c>
      <c r="X24" s="57" cm="1">
        <f t="array" ref="X24">SUMPRODUCT(ISNUMBER(FIND("버금8강", '2004~2025 시즌 결과'!$B22:$L22))*1)</f>
        <v>0</v>
      </c>
      <c r="Y24" s="57" cm="1">
        <f t="array" ref="Y24">SUMPRODUCT(ISNUMBER(FIND("버금16강", '2004~2025 시즌 결과'!$B22:$L22))*1)</f>
        <v>6</v>
      </c>
      <c r="Z24" s="40" cm="1">
        <f t="array" ref="Z24">SUM(COUNTIF('2004~2025 시즌 결과'!$B22:$L22, {"*버금23강*","*버금24강*","*버금32강*"}))</f>
        <v>0</v>
      </c>
      <c r="AA24" s="56" cm="1">
        <f t="array" ref="AA24">SUMPRODUCT(ISNUMBER(FIND("으뜸", '2004~2025 시즌 결과'!$B22:$L22))*1)</f>
        <v>0</v>
      </c>
      <c r="AB24" s="44" cm="1">
        <f t="array" ref="AB24">SUMPRODUCT(ISNUMBER(FIND("버금", '2004~2025 시즌 결과'!$B22:$L22))*1)</f>
        <v>6</v>
      </c>
      <c r="AC24" s="113"/>
      <c r="AD24" s="106"/>
      <c r="AE24" s="106"/>
      <c r="AF24" s="114"/>
      <c r="AJ24" s="1"/>
      <c r="AK24" s="1"/>
    </row>
    <row r="25" spans="1:37">
      <c r="A25" s="62" t="s">
        <v>52</v>
      </c>
      <c r="B25" s="92" t="s">
        <v>128</v>
      </c>
      <c r="C25" s="92"/>
      <c r="D25" s="92"/>
      <c r="E25" s="92"/>
      <c r="F25" s="92"/>
      <c r="G25" s="92" t="s">
        <v>128</v>
      </c>
      <c r="H25" s="92"/>
      <c r="I25" s="92"/>
      <c r="J25" s="92"/>
      <c r="K25" s="133"/>
      <c r="L25" s="63" cm="1">
        <f t="array" ref="L25">SUMPRODUCT(ISNUMBER(FIND("으뜸우승", '2004~2025 시즌 결과'!$B23:$L23))*1)</f>
        <v>0</v>
      </c>
      <c r="M25" s="63" cm="1">
        <f t="array" ref="M25">SUMPRODUCT(ISNUMBER(FIND("으뜸준우승", '2004~2025 시즌 결과'!$B23:$L23))*1)</f>
        <v>0</v>
      </c>
      <c r="N25" s="63" cm="1">
        <f t="array" ref="N25">SUMPRODUCT(ISNUMBER(FIND("으뜸4강", '2004~2025 시즌 결과'!$B23:$L23))*1)</f>
        <v>0</v>
      </c>
      <c r="O25" s="63" cm="1">
        <f t="array" ref="O25">SUMPRODUCT(ISNUMBER(FIND("으뜸8강", '2004~2025 시즌 결과'!$B23:$L23))*1)</f>
        <v>0</v>
      </c>
      <c r="P25" s="39" cm="1">
        <f t="array" ref="P25">SUMPRODUCT(ISNUMBER(FIND("으뜸16강", '2004~2025 시즌 결과'!$B23:$L23))*1)</f>
        <v>0</v>
      </c>
      <c r="Q25" s="92" t="s">
        <v>128</v>
      </c>
      <c r="R25" s="92"/>
      <c r="S25" s="92"/>
      <c r="T25" s="92" t="s">
        <v>128</v>
      </c>
      <c r="U25" s="92"/>
      <c r="V25" s="92"/>
      <c r="W25" s="63" cm="1">
        <f t="array" ref="W25">SUMPRODUCT(ISNUMBER(FIND("버금4강", '2004~2025 시즌 결과'!$B23:$L23))*1)</f>
        <v>0</v>
      </c>
      <c r="X25" s="64" cm="1">
        <f t="array" ref="X25">SUMPRODUCT(ISNUMBER(FIND("버금8강", '2004~2025 시즌 결과'!$B23:$L23))*1)</f>
        <v>0</v>
      </c>
      <c r="Y25" s="64" cm="1">
        <f t="array" ref="Y25">SUMPRODUCT(ISNUMBER(FIND("버금16강", '2004~2025 시즌 결과'!$B23:$L23))*1)</f>
        <v>0</v>
      </c>
      <c r="Z25" s="39" cm="1">
        <f t="array" ref="Z25">SUM(COUNTIF('2004~2025 시즌 결과'!$B23:$L23, {"*버금23강*","*버금24강*","*버금32강*"}))</f>
        <v>0</v>
      </c>
      <c r="AA25" s="63" cm="1">
        <f t="array" ref="AA25">SUMPRODUCT(ISNUMBER(FIND("으뜸", '2004~2025 시즌 결과'!$B23:$L23))*1)</f>
        <v>0</v>
      </c>
      <c r="AB25" s="43" cm="1">
        <f t="array" ref="AB25">SUMPRODUCT(ISNUMBER(FIND("버금", '2004~2025 시즌 결과'!$B23:$L23))*1)</f>
        <v>0</v>
      </c>
      <c r="AC25" s="107" t="s">
        <v>69</v>
      </c>
      <c r="AD25" s="103"/>
      <c r="AE25" s="103"/>
      <c r="AF25" s="104"/>
      <c r="AJ25" s="1"/>
      <c r="AK25" s="1"/>
    </row>
    <row r="26" spans="1:37">
      <c r="A26" s="55" t="s">
        <v>19</v>
      </c>
      <c r="B26" s="106" t="s">
        <v>89</v>
      </c>
      <c r="C26" s="106"/>
      <c r="D26" s="106"/>
      <c r="E26" s="106"/>
      <c r="F26" s="106"/>
      <c r="G26" s="106" t="s">
        <v>111</v>
      </c>
      <c r="H26" s="106"/>
      <c r="I26" s="106"/>
      <c r="J26" s="106"/>
      <c r="K26" s="114"/>
      <c r="L26" s="65" cm="1">
        <f t="array" ref="L26">SUMPRODUCT(ISNUMBER(FIND("으뜸우승", '2004~2025 시즌 결과'!$B24:$L24))*1)</f>
        <v>3</v>
      </c>
      <c r="M26" s="56" cm="1">
        <f t="array" ref="M26">SUMPRODUCT(ISNUMBER(FIND("으뜸준우승", '2004~2025 시즌 결과'!$B24:$L24))*1)</f>
        <v>0</v>
      </c>
      <c r="N26" s="56" cm="1">
        <f t="array" ref="N26">SUMPRODUCT(ISNUMBER(FIND("으뜸4강", '2004~2025 시즌 결과'!$B24:$L24))*1)</f>
        <v>0</v>
      </c>
      <c r="O26" s="56" cm="1">
        <f t="array" ref="O26">SUMPRODUCT(ISNUMBER(FIND("으뜸8강", '2004~2025 시즌 결과'!$B24:$L24))*1)</f>
        <v>2</v>
      </c>
      <c r="P26" s="40" cm="1">
        <f t="array" ref="P26">SUMPRODUCT(ISNUMBER(FIND("으뜸16강", '2004~2025 시즌 결과'!$B24:$L24))*1)</f>
        <v>2</v>
      </c>
      <c r="Q26" s="106" t="s">
        <v>118</v>
      </c>
      <c r="R26" s="106"/>
      <c r="S26" s="106"/>
      <c r="T26" s="106" t="s">
        <v>124</v>
      </c>
      <c r="U26" s="106"/>
      <c r="V26" s="106"/>
      <c r="W26" s="56" cm="1">
        <f t="array" ref="W26">SUMPRODUCT(ISNUMBER(FIND("버금4강", '2004~2025 시즌 결과'!$B24:$L24))*1)</f>
        <v>0</v>
      </c>
      <c r="X26" s="57" cm="1">
        <f t="array" ref="X26">SUMPRODUCT(ISNUMBER(FIND("버금8강", '2004~2025 시즌 결과'!$B24:$L24))*1)</f>
        <v>1</v>
      </c>
      <c r="Y26" s="57" cm="1">
        <f t="array" ref="Y26">SUMPRODUCT(ISNUMBER(FIND("버금16강", '2004~2025 시즌 결과'!$B24:$L24))*1)</f>
        <v>1</v>
      </c>
      <c r="Z26" s="40" cm="1">
        <f t="array" ref="Z26">SUM(COUNTIF('2004~2025 시즌 결과'!$B24:$L24, {"*버금23강*","*버금24강*","*버금32강*"}))</f>
        <v>0</v>
      </c>
      <c r="AA26" s="56" cm="1">
        <f t="array" ref="AA26">SUMPRODUCT(ISNUMBER(FIND("으뜸", '2004~2025 시즌 결과'!$B24:$L24))*1)</f>
        <v>7</v>
      </c>
      <c r="AB26" s="44" cm="1">
        <f t="array" ref="AB26">SUMPRODUCT(ISNUMBER(FIND("버금", '2004~2025 시즌 결과'!$B24:$L24))*1)</f>
        <v>3</v>
      </c>
      <c r="AC26" s="113" t="s">
        <v>142</v>
      </c>
      <c r="AD26" s="106"/>
      <c r="AE26" s="106"/>
      <c r="AF26" s="114"/>
      <c r="AJ26" s="1"/>
      <c r="AK26" s="1"/>
    </row>
    <row r="27" spans="1:37">
      <c r="A27" s="62" t="s">
        <v>20</v>
      </c>
      <c r="B27" s="103" t="s">
        <v>83</v>
      </c>
      <c r="C27" s="103"/>
      <c r="D27" s="103"/>
      <c r="E27" s="103"/>
      <c r="F27" s="103"/>
      <c r="G27" s="103" t="s">
        <v>106</v>
      </c>
      <c r="H27" s="103"/>
      <c r="I27" s="103"/>
      <c r="J27" s="103"/>
      <c r="K27" s="104"/>
      <c r="L27" s="63" cm="1">
        <f t="array" ref="L27">SUMPRODUCT(ISNUMBER(FIND("으뜸우승", '2004~2025 시즌 결과'!$B25:$L25))*1)</f>
        <v>0</v>
      </c>
      <c r="M27" s="63" cm="1">
        <f t="array" ref="M27">SUMPRODUCT(ISNUMBER(FIND("으뜸준우승", '2004~2025 시즌 결과'!$B25:$L25))*1)</f>
        <v>0</v>
      </c>
      <c r="N27" s="63" cm="1">
        <f t="array" ref="N27">SUMPRODUCT(ISNUMBER(FIND("으뜸4강", '2004~2025 시즌 결과'!$B25:$L25))*1)</f>
        <v>0</v>
      </c>
      <c r="O27" s="63" cm="1">
        <f t="array" ref="O27">SUMPRODUCT(ISNUMBER(FIND("으뜸8강", '2004~2025 시즌 결과'!$B25:$L25))*1)</f>
        <v>0</v>
      </c>
      <c r="P27" s="39" cm="1">
        <f t="array" ref="P27">SUMPRODUCT(ISNUMBER(FIND("으뜸16강", '2004~2025 시즌 결과'!$B25:$L25))*1)</f>
        <v>0</v>
      </c>
      <c r="Q27" s="92" t="s">
        <v>128</v>
      </c>
      <c r="R27" s="92"/>
      <c r="S27" s="92"/>
      <c r="T27" s="92" t="s">
        <v>128</v>
      </c>
      <c r="U27" s="92"/>
      <c r="V27" s="92"/>
      <c r="W27" s="63" cm="1">
        <f t="array" ref="W27">SUMPRODUCT(ISNUMBER(FIND("버금4강", '2004~2025 시즌 결과'!$B25:$L25))*1)</f>
        <v>0</v>
      </c>
      <c r="X27" s="64" cm="1">
        <f t="array" ref="X27">SUMPRODUCT(ISNUMBER(FIND("버금8강", '2004~2025 시즌 결과'!$B25:$L25))*1)</f>
        <v>0</v>
      </c>
      <c r="Y27" s="64" cm="1">
        <f t="array" ref="Y27">SUMPRODUCT(ISNUMBER(FIND("버금16강", '2004~2025 시즌 결과'!$B25:$L25))*1)</f>
        <v>0</v>
      </c>
      <c r="Z27" s="39" cm="1">
        <f t="array" ref="Z27">SUM(COUNTIF('2004~2025 시즌 결과'!$B25:$L25, {"*버금23강*","*버금24강*","*버금32강*"}))</f>
        <v>0</v>
      </c>
      <c r="AA27" s="63" cm="1">
        <f t="array" ref="AA27">SUMPRODUCT(ISNUMBER(FIND("으뜸", '2004~2025 시즌 결과'!$B25:$L25))*1)</f>
        <v>0</v>
      </c>
      <c r="AB27" s="43" cm="1">
        <f t="array" ref="AB27">SUMPRODUCT(ISNUMBER(FIND("버금", '2004~2025 시즌 결과'!$B25:$L25))*1)</f>
        <v>0</v>
      </c>
      <c r="AC27" s="107" t="s">
        <v>146</v>
      </c>
      <c r="AD27" s="103"/>
      <c r="AE27" s="103"/>
      <c r="AF27" s="104"/>
      <c r="AJ27" s="1"/>
      <c r="AK27" s="1"/>
    </row>
    <row r="28" spans="1:37">
      <c r="A28" s="55" t="s">
        <v>21</v>
      </c>
      <c r="B28" s="105" t="s">
        <v>128</v>
      </c>
      <c r="C28" s="105"/>
      <c r="D28" s="105"/>
      <c r="E28" s="105"/>
      <c r="F28" s="105"/>
      <c r="G28" s="105" t="s">
        <v>169</v>
      </c>
      <c r="H28" s="105"/>
      <c r="I28" s="105"/>
      <c r="J28" s="105"/>
      <c r="K28" s="132"/>
      <c r="L28" s="56" cm="1">
        <f t="array" ref="L28">SUMPRODUCT(ISNUMBER(FIND("으뜸우승", '2004~2025 시즌 결과'!$B26:$L26))*1)</f>
        <v>0</v>
      </c>
      <c r="M28" s="56" cm="1">
        <f t="array" ref="M28">SUMPRODUCT(ISNUMBER(FIND("으뜸준우승", '2004~2025 시즌 결과'!$B26:$L26))*1)</f>
        <v>1</v>
      </c>
      <c r="N28" s="56" cm="1">
        <f t="array" ref="N28">SUMPRODUCT(ISNUMBER(FIND("으뜸4강", '2004~2025 시즌 결과'!$B26:$L26))*1)</f>
        <v>0</v>
      </c>
      <c r="O28" s="56" cm="1">
        <f t="array" ref="O28">SUMPRODUCT(ISNUMBER(FIND("으뜸8강", '2004~2025 시즌 결과'!$B26:$L26))*1)</f>
        <v>1</v>
      </c>
      <c r="P28" s="40" cm="1">
        <f t="array" ref="P28">SUMPRODUCT(ISNUMBER(FIND("으뜸16강", '2004~2025 시즌 결과'!$B26:$L26))*1)</f>
        <v>0</v>
      </c>
      <c r="Q28" s="105" t="s">
        <v>128</v>
      </c>
      <c r="R28" s="105"/>
      <c r="S28" s="105"/>
      <c r="T28" s="105" t="s">
        <v>128</v>
      </c>
      <c r="U28" s="105"/>
      <c r="V28" s="105"/>
      <c r="W28" s="56" cm="1">
        <f t="array" ref="W28">SUMPRODUCT(ISNUMBER(FIND("버금4강", '2004~2025 시즌 결과'!$B26:$L26))*1)</f>
        <v>1</v>
      </c>
      <c r="X28" s="57" cm="1">
        <f t="array" ref="X28">SUMPRODUCT(ISNUMBER(FIND("버금8강", '2004~2025 시즌 결과'!$B26:$L26))*1)</f>
        <v>3</v>
      </c>
      <c r="Y28" s="57" cm="1">
        <f t="array" ref="Y28">SUMPRODUCT(ISNUMBER(FIND("버금16강", '2004~2025 시즌 결과'!$B26:$L26))*1)</f>
        <v>0</v>
      </c>
      <c r="Z28" s="40" cm="1">
        <f t="array" ref="Z28">SUM(COUNTIF('2004~2025 시즌 결과'!$B26:$L26, {"*버금23강*","*버금24강*","*버금32강*"}))</f>
        <v>0</v>
      </c>
      <c r="AA28" s="56" cm="1">
        <f t="array" ref="AA28">SUMPRODUCT(ISNUMBER(FIND("으뜸", '2004~2025 시즌 결과'!$B26:$L26))*1)</f>
        <v>2</v>
      </c>
      <c r="AB28" s="44" cm="1">
        <f t="array" ref="AB28">SUMPRODUCT(ISNUMBER(FIND("버금", '2004~2025 시즌 결과'!$B26:$L26))*1)</f>
        <v>4</v>
      </c>
      <c r="AC28" s="119" t="s">
        <v>149</v>
      </c>
      <c r="AD28" s="120"/>
      <c r="AE28" s="120"/>
      <c r="AF28" s="121"/>
      <c r="AJ28" s="1"/>
      <c r="AK28" s="1"/>
    </row>
    <row r="29" spans="1:37">
      <c r="A29" s="62" t="s">
        <v>22</v>
      </c>
      <c r="B29" s="92" t="s">
        <v>128</v>
      </c>
      <c r="C29" s="92"/>
      <c r="D29" s="92"/>
      <c r="E29" s="92"/>
      <c r="F29" s="92"/>
      <c r="G29" s="92" t="s">
        <v>128</v>
      </c>
      <c r="H29" s="92"/>
      <c r="I29" s="92"/>
      <c r="J29" s="92"/>
      <c r="K29" s="133"/>
      <c r="L29" s="63" cm="1">
        <f t="array" ref="L29">SUMPRODUCT(ISNUMBER(FIND("으뜸우승", '2004~2025 시즌 결과'!$B27:$L27))*1)</f>
        <v>0</v>
      </c>
      <c r="M29" s="63" cm="1">
        <f t="array" ref="M29">SUMPRODUCT(ISNUMBER(FIND("으뜸준우승", '2004~2025 시즌 결과'!$B27:$L27))*1)</f>
        <v>0</v>
      </c>
      <c r="N29" s="63" cm="1">
        <f t="array" ref="N29">SUMPRODUCT(ISNUMBER(FIND("으뜸4강", '2004~2025 시즌 결과'!$B27:$L27))*1)</f>
        <v>0</v>
      </c>
      <c r="O29" s="63" cm="1">
        <f t="array" ref="O29">SUMPRODUCT(ISNUMBER(FIND("으뜸8강", '2004~2025 시즌 결과'!$B27:$L27))*1)</f>
        <v>0</v>
      </c>
      <c r="P29" s="39" cm="1">
        <f t="array" ref="P29">SUMPRODUCT(ISNUMBER(FIND("으뜸16강", '2004~2025 시즌 결과'!$B27:$L27))*1)</f>
        <v>0</v>
      </c>
      <c r="Q29" s="92" t="s">
        <v>128</v>
      </c>
      <c r="R29" s="92"/>
      <c r="S29" s="92"/>
      <c r="T29" s="92" t="s">
        <v>128</v>
      </c>
      <c r="U29" s="92"/>
      <c r="V29" s="92"/>
      <c r="W29" s="63" cm="1">
        <f t="array" ref="W29">SUMPRODUCT(ISNUMBER(FIND("버금4강", '2004~2025 시즌 결과'!$B27:$L27))*1)</f>
        <v>0</v>
      </c>
      <c r="X29" s="64" cm="1">
        <f t="array" ref="X29">SUMPRODUCT(ISNUMBER(FIND("버금8강", '2004~2025 시즌 결과'!$B27:$L27))*1)</f>
        <v>0</v>
      </c>
      <c r="Y29" s="64" cm="1">
        <f t="array" ref="Y29">SUMPRODUCT(ISNUMBER(FIND("버금16강", '2004~2025 시즌 결과'!$B27:$L27))*1)</f>
        <v>0</v>
      </c>
      <c r="Z29" s="39" cm="1">
        <f t="array" ref="Z29">SUM(COUNTIF('2004~2025 시즌 결과'!$B27:$L27, {"*버금23강*","*버금24강*","*버금32강*"}))</f>
        <v>0</v>
      </c>
      <c r="AA29" s="63" cm="1">
        <f t="array" ref="AA29">SUMPRODUCT(ISNUMBER(FIND("으뜸", '2004~2025 시즌 결과'!$B27:$L27))*1)</f>
        <v>0</v>
      </c>
      <c r="AB29" s="43" cm="1">
        <f t="array" ref="AB29">SUMPRODUCT(ISNUMBER(FIND("버금", '2004~2025 시즌 결과'!$B27:$L27))*1)</f>
        <v>0</v>
      </c>
      <c r="AC29" s="107" t="s">
        <v>69</v>
      </c>
      <c r="AD29" s="103"/>
      <c r="AE29" s="103"/>
      <c r="AF29" s="104"/>
      <c r="AJ29" s="1"/>
      <c r="AK29" s="1"/>
    </row>
    <row r="30" spans="1:37">
      <c r="A30" s="55" t="s">
        <v>23</v>
      </c>
      <c r="B30" s="106" t="s">
        <v>75</v>
      </c>
      <c r="C30" s="106"/>
      <c r="D30" s="106"/>
      <c r="E30" s="106"/>
      <c r="F30" s="106"/>
      <c r="G30" s="126" t="s">
        <v>133</v>
      </c>
      <c r="H30" s="126"/>
      <c r="I30" s="126"/>
      <c r="J30" s="126"/>
      <c r="K30" s="128"/>
      <c r="L30" s="56" cm="1">
        <f t="array" ref="L30">SUMPRODUCT(ISNUMBER(FIND("으뜸우승", '2004~2025 시즌 결과'!$B28:$L28))*1)</f>
        <v>1</v>
      </c>
      <c r="M30" s="56" cm="1">
        <f t="array" ref="M30">SUMPRODUCT(ISNUMBER(FIND("으뜸준우승", '2004~2025 시즌 결과'!$B28:$L28))*1)</f>
        <v>0</v>
      </c>
      <c r="N30" s="56" cm="1">
        <f t="array" ref="N30">SUMPRODUCT(ISNUMBER(FIND("으뜸4강", '2004~2025 시즌 결과'!$B28:$L28))*1)</f>
        <v>2</v>
      </c>
      <c r="O30" s="56" cm="1">
        <f t="array" ref="O30">SUMPRODUCT(ISNUMBER(FIND("으뜸8강", '2004~2025 시즌 결과'!$B28:$L28))*1)</f>
        <v>1</v>
      </c>
      <c r="P30" s="40" cm="1">
        <f t="array" ref="P30">SUMPRODUCT(ISNUMBER(FIND("으뜸16강", '2004~2025 시즌 결과'!$B28:$L28))*1)</f>
        <v>3</v>
      </c>
      <c r="Q30" s="105" t="s">
        <v>128</v>
      </c>
      <c r="R30" s="105"/>
      <c r="S30" s="105"/>
      <c r="T30" s="105" t="s">
        <v>128</v>
      </c>
      <c r="U30" s="105"/>
      <c r="V30" s="105"/>
      <c r="W30" s="56" cm="1">
        <f t="array" ref="W30">SUMPRODUCT(ISNUMBER(FIND("버금4강", '2004~2025 시즌 결과'!$B28:$L28))*1)</f>
        <v>0</v>
      </c>
      <c r="X30" s="57" cm="1">
        <f t="array" ref="X30">SUMPRODUCT(ISNUMBER(FIND("버금8강", '2004~2025 시즌 결과'!$B28:$L28))*1)</f>
        <v>0</v>
      </c>
      <c r="Y30" s="57" cm="1">
        <f t="array" ref="Y30">SUMPRODUCT(ISNUMBER(FIND("버금16강", '2004~2025 시즌 결과'!$B28:$L28))*1)</f>
        <v>2</v>
      </c>
      <c r="Z30" s="40" cm="1">
        <f t="array" ref="Z30">SUM(COUNTIF('2004~2025 시즌 결과'!$B28:$L28, {"*버금23강*","*버금24강*","*버금32강*"}))</f>
        <v>0</v>
      </c>
      <c r="AA30" s="56" cm="1">
        <f t="array" ref="AA30">SUMPRODUCT(ISNUMBER(FIND("으뜸", '2004~2025 시즌 결과'!$B28:$L28))*1)</f>
        <v>7</v>
      </c>
      <c r="AB30" s="44" cm="1">
        <f t="array" ref="AB30">SUMPRODUCT(ISNUMBER(FIND("버금", '2004~2025 시즌 결과'!$B28:$L28))*1)</f>
        <v>2</v>
      </c>
      <c r="AC30" s="113" t="s">
        <v>143</v>
      </c>
      <c r="AD30" s="106"/>
      <c r="AE30" s="106"/>
      <c r="AF30" s="114"/>
      <c r="AJ30" s="1"/>
      <c r="AK30" s="1"/>
    </row>
    <row r="31" spans="1:37">
      <c r="A31" s="62" t="s">
        <v>24</v>
      </c>
      <c r="B31" s="92" t="s">
        <v>169</v>
      </c>
      <c r="C31" s="92"/>
      <c r="D31" s="92"/>
      <c r="E31" s="92"/>
      <c r="F31" s="92"/>
      <c r="G31" s="103" t="s">
        <v>109</v>
      </c>
      <c r="H31" s="103"/>
      <c r="I31" s="103"/>
      <c r="J31" s="103"/>
      <c r="K31" s="104"/>
      <c r="L31" s="63" cm="1">
        <f t="array" ref="L31">SUMPRODUCT(ISNUMBER(FIND("으뜸우승", '2004~2025 시즌 결과'!$B29:$L29))*1)</f>
        <v>1</v>
      </c>
      <c r="M31" s="63" cm="1">
        <f t="array" ref="M31">SUMPRODUCT(ISNUMBER(FIND("으뜸준우승", '2004~2025 시즌 결과'!$B29:$L29))*1)</f>
        <v>1</v>
      </c>
      <c r="N31" s="63" cm="1">
        <f t="array" ref="N31">SUMPRODUCT(ISNUMBER(FIND("으뜸4강", '2004~2025 시즌 결과'!$B29:$L29))*1)</f>
        <v>0</v>
      </c>
      <c r="O31" s="63" cm="1">
        <f t="array" ref="O31">SUMPRODUCT(ISNUMBER(FIND("으뜸8강", '2004~2025 시즌 결과'!$B29:$L29))*1)</f>
        <v>2</v>
      </c>
      <c r="P31" s="39" cm="1">
        <f t="array" ref="P31">SUMPRODUCT(ISNUMBER(FIND("으뜸16강", '2004~2025 시즌 결과'!$B29:$L29))*1)</f>
        <v>3</v>
      </c>
      <c r="Q31" s="92" t="s">
        <v>128</v>
      </c>
      <c r="R31" s="92"/>
      <c r="S31" s="92"/>
      <c r="T31" s="92" t="s">
        <v>128</v>
      </c>
      <c r="U31" s="92"/>
      <c r="V31" s="92"/>
      <c r="W31" s="63" cm="1">
        <f t="array" ref="W31">SUMPRODUCT(ISNUMBER(FIND("버금4강", '2004~2025 시즌 결과'!$B29:$L29))*1)</f>
        <v>1</v>
      </c>
      <c r="X31" s="64" cm="1">
        <f t="array" ref="X31">SUMPRODUCT(ISNUMBER(FIND("버금8강", '2004~2025 시즌 결과'!$B29:$L29))*1)</f>
        <v>1</v>
      </c>
      <c r="Y31" s="64" cm="1">
        <f t="array" ref="Y31">SUMPRODUCT(ISNUMBER(FIND("버금16강", '2004~2025 시즌 결과'!$B29:$L29))*1)</f>
        <v>1</v>
      </c>
      <c r="Z31" s="39" cm="1">
        <f t="array" ref="Z31">SUM(COUNTIF('2004~2025 시즌 결과'!$B29:$L29, {"*버금23강*","*버금24강*","*버금32강*"}))</f>
        <v>0</v>
      </c>
      <c r="AA31" s="63" cm="1">
        <f t="array" ref="AA31">SUMPRODUCT(ISNUMBER(FIND("으뜸", '2004~2025 시즌 결과'!$B29:$L29))*1)</f>
        <v>7</v>
      </c>
      <c r="AB31" s="43" cm="1">
        <f t="array" ref="AB31">SUMPRODUCT(ISNUMBER(FIND("버금", '2004~2025 시즌 결과'!$B29:$L29))*1)</f>
        <v>3</v>
      </c>
      <c r="AC31" s="107" t="s">
        <v>150</v>
      </c>
      <c r="AD31" s="103"/>
      <c r="AE31" s="103"/>
      <c r="AF31" s="104"/>
      <c r="AJ31" s="1"/>
      <c r="AK31" s="1"/>
    </row>
    <row r="32" spans="1:37">
      <c r="A32" s="55" t="s">
        <v>25</v>
      </c>
      <c r="B32" s="106" t="s">
        <v>79</v>
      </c>
      <c r="C32" s="106"/>
      <c r="D32" s="106"/>
      <c r="E32" s="106"/>
      <c r="F32" s="106"/>
      <c r="G32" s="106" t="s">
        <v>94</v>
      </c>
      <c r="H32" s="106"/>
      <c r="I32" s="106"/>
      <c r="J32" s="106"/>
      <c r="K32" s="114"/>
      <c r="L32" s="56" cm="1">
        <f t="array" ref="L32">SUMPRODUCT(ISNUMBER(FIND("으뜸우승", '2004~2025 시즌 결과'!$B30:$L30))*1)</f>
        <v>1</v>
      </c>
      <c r="M32" s="65" cm="1">
        <f t="array" ref="M32">SUMPRODUCT(ISNUMBER(FIND("으뜸준우승", '2004~2025 시즌 결과'!$B30:$L30))*1)</f>
        <v>1</v>
      </c>
      <c r="N32" s="56" cm="1">
        <f t="array" ref="N32">SUMPRODUCT(ISNUMBER(FIND("으뜸4강", '2004~2025 시즌 결과'!$B30:$L30))*1)</f>
        <v>0</v>
      </c>
      <c r="O32" s="56" cm="1">
        <f t="array" ref="O32">SUMPRODUCT(ISNUMBER(FIND("으뜸8강", '2004~2025 시즌 결과'!$B30:$L30))*1)</f>
        <v>3</v>
      </c>
      <c r="P32" s="40" cm="1">
        <f t="array" ref="P32">SUMPRODUCT(ISNUMBER(FIND("으뜸16강", '2004~2025 시즌 결과'!$B30:$L30))*1)</f>
        <v>5</v>
      </c>
      <c r="Q32" s="105" t="s">
        <v>128</v>
      </c>
      <c r="R32" s="105"/>
      <c r="S32" s="105"/>
      <c r="T32" s="106" t="s">
        <v>123</v>
      </c>
      <c r="U32" s="106"/>
      <c r="V32" s="106"/>
      <c r="W32" s="56" cm="1">
        <f t="array" ref="W32">SUMPRODUCT(ISNUMBER(FIND("버금4강", '2004~2025 시즌 결과'!$B30:$L30))*1)</f>
        <v>0</v>
      </c>
      <c r="X32" s="57" cm="1">
        <f t="array" ref="X32">SUMPRODUCT(ISNUMBER(FIND("버금8강", '2004~2025 시즌 결과'!$B30:$L30))*1)</f>
        <v>0</v>
      </c>
      <c r="Y32" s="57" cm="1">
        <f t="array" ref="Y32">SUMPRODUCT(ISNUMBER(FIND("버금16강", '2004~2025 시즌 결과'!$B30:$L30))*1)</f>
        <v>0</v>
      </c>
      <c r="Z32" s="40" cm="1">
        <f t="array" ref="Z32">SUM(COUNTIF('2004~2025 시즌 결과'!$B30:$L30, {"*버금23강*","*버금24강*","*버금32강*"}))</f>
        <v>0</v>
      </c>
      <c r="AA32" s="56" cm="1">
        <f t="array" ref="AA32">SUMPRODUCT(ISNUMBER(FIND("으뜸", '2004~2025 시즌 결과'!$B30:$L30))*1)</f>
        <v>10</v>
      </c>
      <c r="AB32" s="44" cm="1">
        <f t="array" ref="AB32">SUMPRODUCT(ISNUMBER(FIND("버금", '2004~2025 시즌 결과'!$B30:$L30))*1)</f>
        <v>0</v>
      </c>
      <c r="AC32" s="113" t="s">
        <v>144</v>
      </c>
      <c r="AD32" s="106"/>
      <c r="AE32" s="106"/>
      <c r="AF32" s="114"/>
      <c r="AJ32" s="1"/>
      <c r="AK32" s="1"/>
    </row>
    <row r="33" spans="1:38">
      <c r="A33" s="62" t="s">
        <v>26</v>
      </c>
      <c r="B33" s="92" t="s">
        <v>128</v>
      </c>
      <c r="C33" s="92"/>
      <c r="D33" s="92"/>
      <c r="E33" s="92"/>
      <c r="F33" s="92"/>
      <c r="G33" s="103" t="s">
        <v>96</v>
      </c>
      <c r="H33" s="103"/>
      <c r="I33" s="103"/>
      <c r="J33" s="103"/>
      <c r="K33" s="104"/>
      <c r="L33" s="63" cm="1">
        <f t="array" ref="L33">SUMPRODUCT(ISNUMBER(FIND("으뜸우승", '2004~2025 시즌 결과'!$B31:$L31))*1)</f>
        <v>0</v>
      </c>
      <c r="M33" s="63" cm="1">
        <f t="array" ref="M33">SUMPRODUCT(ISNUMBER(FIND("으뜸준우승", '2004~2025 시즌 결과'!$B31:$L31))*1)</f>
        <v>0</v>
      </c>
      <c r="N33" s="63" cm="1">
        <f t="array" ref="N33">SUMPRODUCT(ISNUMBER(FIND("으뜸4강", '2004~2025 시즌 결과'!$B31:$L31))*1)</f>
        <v>0</v>
      </c>
      <c r="O33" s="63" cm="1">
        <f t="array" ref="O33">SUMPRODUCT(ISNUMBER(FIND("으뜸8강", '2004~2025 시즌 결과'!$B31:$L31))*1)</f>
        <v>1</v>
      </c>
      <c r="P33" s="39" cm="1">
        <f t="array" ref="P33">SUMPRODUCT(ISNUMBER(FIND("으뜸16강", '2004~2025 시즌 결과'!$B31:$L31))*1)</f>
        <v>2</v>
      </c>
      <c r="Q33" s="103" t="s">
        <v>119</v>
      </c>
      <c r="R33" s="103"/>
      <c r="S33" s="103"/>
      <c r="T33" s="103" t="s">
        <v>109</v>
      </c>
      <c r="U33" s="103"/>
      <c r="V33" s="103"/>
      <c r="W33" s="63" cm="1">
        <f t="array" ref="W33">SUMPRODUCT(ISNUMBER(FIND("버금4강", '2004~2025 시즌 결과'!$B31:$L31))*1)</f>
        <v>0</v>
      </c>
      <c r="X33" s="64" cm="1">
        <f t="array" ref="X33">SUMPRODUCT(ISNUMBER(FIND("버금8강", '2004~2025 시즌 결과'!$B31:$L31))*1)</f>
        <v>3</v>
      </c>
      <c r="Y33" s="64" cm="1">
        <f t="array" ref="Y33">SUMPRODUCT(ISNUMBER(FIND("버금16강", '2004~2025 시즌 결과'!$B31:$L31))*1)</f>
        <v>0</v>
      </c>
      <c r="Z33" s="39" cm="1">
        <f t="array" ref="Z33">SUM(COUNTIF('2004~2025 시즌 결과'!$B31:$L31, {"*버금23강*","*버금24강*","*버금32강*"}))</f>
        <v>0</v>
      </c>
      <c r="AA33" s="63" cm="1">
        <f t="array" ref="AA33">SUMPRODUCT(ISNUMBER(FIND("으뜸", '2004~2025 시즌 결과'!$B31:$L31))*1)</f>
        <v>3</v>
      </c>
      <c r="AB33" s="43" cm="1">
        <f t="array" ref="AB33">SUMPRODUCT(ISNUMBER(FIND("버금", '2004~2025 시즌 결과'!$B31:$L31))*1)</f>
        <v>5</v>
      </c>
      <c r="AC33" s="107" t="s">
        <v>141</v>
      </c>
      <c r="AD33" s="103"/>
      <c r="AE33" s="103"/>
      <c r="AF33" s="104"/>
      <c r="AJ33" s="1"/>
      <c r="AK33" s="1"/>
    </row>
    <row r="34" spans="1:38">
      <c r="A34" s="55" t="s">
        <v>27</v>
      </c>
      <c r="B34" s="106" t="s">
        <v>86</v>
      </c>
      <c r="C34" s="106"/>
      <c r="D34" s="106"/>
      <c r="E34" s="106"/>
      <c r="F34" s="106"/>
      <c r="G34" s="106" t="s">
        <v>110</v>
      </c>
      <c r="H34" s="106"/>
      <c r="I34" s="106"/>
      <c r="J34" s="106"/>
      <c r="K34" s="114"/>
      <c r="L34" s="56" cm="1">
        <f t="array" ref="L34">SUMPRODUCT(ISNUMBER(FIND("으뜸우승", '2004~2025 시즌 결과'!$B32:$L32))*1)</f>
        <v>0</v>
      </c>
      <c r="M34" s="56" cm="1">
        <f t="array" ref="M34">SUMPRODUCT(ISNUMBER(FIND("으뜸준우승", '2004~2025 시즌 결과'!$B32:$L32))*1)</f>
        <v>0</v>
      </c>
      <c r="N34" s="56" cm="1">
        <f t="array" ref="N34">SUMPRODUCT(ISNUMBER(FIND("으뜸4강", '2004~2025 시즌 결과'!$B32:$L32))*1)</f>
        <v>1</v>
      </c>
      <c r="O34" s="56" cm="1">
        <f t="array" ref="O34">SUMPRODUCT(ISNUMBER(FIND("으뜸8강", '2004~2025 시즌 결과'!$B32:$L32))*1)</f>
        <v>4</v>
      </c>
      <c r="P34" s="40" cm="1">
        <f t="array" ref="P34">SUMPRODUCT(ISNUMBER(FIND("으뜸16강", '2004~2025 시즌 결과'!$B32:$L32))*1)</f>
        <v>4</v>
      </c>
      <c r="Q34" s="105" t="s">
        <v>128</v>
      </c>
      <c r="R34" s="105"/>
      <c r="S34" s="105"/>
      <c r="T34" s="105" t="s">
        <v>128</v>
      </c>
      <c r="U34" s="105"/>
      <c r="V34" s="105"/>
      <c r="W34" s="56" cm="1">
        <f t="array" ref="W34">SUMPRODUCT(ISNUMBER(FIND("버금4강", '2004~2025 시즌 결과'!$B32:$L32))*1)</f>
        <v>0</v>
      </c>
      <c r="X34" s="57" cm="1">
        <f t="array" ref="X34">SUMPRODUCT(ISNUMBER(FIND("버금8강", '2004~2025 시즌 결과'!$B32:$L32))*1)</f>
        <v>0</v>
      </c>
      <c r="Y34" s="57" cm="1">
        <f t="array" ref="Y34">SUMPRODUCT(ISNUMBER(FIND("버금16강", '2004~2025 시즌 결과'!$B32:$L32))*1)</f>
        <v>0</v>
      </c>
      <c r="Z34" s="40" cm="1">
        <f t="array" ref="Z34">SUM(COUNTIF('2004~2025 시즌 결과'!$B32:$L32, {"*버금23강*","*버금24강*","*버금32강*"}))</f>
        <v>0</v>
      </c>
      <c r="AA34" s="56" cm="1">
        <f t="array" ref="AA34">SUMPRODUCT(ISNUMBER(FIND("으뜸", '2004~2025 시즌 결과'!$B32:$L32))*1)</f>
        <v>9</v>
      </c>
      <c r="AB34" s="44" cm="1">
        <f t="array" ref="AB34">SUMPRODUCT(ISNUMBER(FIND("버금", '2004~2025 시즌 결과'!$B32:$L32))*1)</f>
        <v>0</v>
      </c>
      <c r="AC34" s="113" t="s">
        <v>151</v>
      </c>
      <c r="AD34" s="106"/>
      <c r="AE34" s="106"/>
      <c r="AF34" s="114"/>
      <c r="AJ34" s="1"/>
      <c r="AK34" s="1"/>
    </row>
    <row r="35" spans="1:38">
      <c r="A35" s="67" t="s">
        <v>51</v>
      </c>
      <c r="B35" s="92" t="s">
        <v>128</v>
      </c>
      <c r="C35" s="92"/>
      <c r="D35" s="92"/>
      <c r="E35" s="92"/>
      <c r="F35" s="92"/>
      <c r="G35" s="92" t="s">
        <v>128</v>
      </c>
      <c r="H35" s="92"/>
      <c r="I35" s="92"/>
      <c r="J35" s="92"/>
      <c r="K35" s="133"/>
      <c r="L35" s="63" cm="1">
        <f t="array" ref="L35">SUMPRODUCT(ISNUMBER(FIND("으뜸우승", '2004~2025 시즌 결과'!$B33:$L33))*1)</f>
        <v>0</v>
      </c>
      <c r="M35" s="63" cm="1">
        <f t="array" ref="M35">SUMPRODUCT(ISNUMBER(FIND("으뜸준우승", '2004~2025 시즌 결과'!$B33:$L33))*1)</f>
        <v>0</v>
      </c>
      <c r="N35" s="63" cm="1">
        <f t="array" ref="N35">SUMPRODUCT(ISNUMBER(FIND("으뜸4강", '2004~2025 시즌 결과'!$B33:$L33))*1)</f>
        <v>0</v>
      </c>
      <c r="O35" s="63" cm="1">
        <f t="array" ref="O35">SUMPRODUCT(ISNUMBER(FIND("으뜸8강", '2004~2025 시즌 결과'!$B33:$L33))*1)</f>
        <v>0</v>
      </c>
      <c r="P35" s="39" cm="1">
        <f t="array" ref="P35">SUMPRODUCT(ISNUMBER(FIND("으뜸16강", '2004~2025 시즌 결과'!$B33:$L33))*1)</f>
        <v>0</v>
      </c>
      <c r="Q35" s="92" t="s">
        <v>128</v>
      </c>
      <c r="R35" s="92"/>
      <c r="S35" s="92"/>
      <c r="T35" s="92" t="s">
        <v>128</v>
      </c>
      <c r="U35" s="92"/>
      <c r="V35" s="92"/>
      <c r="W35" s="63" cm="1">
        <f t="array" ref="W35">SUMPRODUCT(ISNUMBER(FIND("버금4강", '2004~2025 시즌 결과'!$B33:$L33))*1)</f>
        <v>0</v>
      </c>
      <c r="X35" s="64" cm="1">
        <f t="array" ref="X35">SUMPRODUCT(ISNUMBER(FIND("버금8강", '2004~2025 시즌 결과'!$B33:$L33))*1)</f>
        <v>0</v>
      </c>
      <c r="Y35" s="64" cm="1">
        <f t="array" ref="Y35">SUMPRODUCT(ISNUMBER(FIND("버금16강", '2004~2025 시즌 결과'!$B33:$L33))*1)</f>
        <v>0</v>
      </c>
      <c r="Z35" s="39" cm="1">
        <f t="array" ref="Z35">SUM(COUNTIF('2004~2025 시즌 결과'!$B33:$L33, {"*버금23강*","*버금24강*","*버금32강*"}))</f>
        <v>0</v>
      </c>
      <c r="AA35" s="63" cm="1">
        <f t="array" ref="AA35">SUMPRODUCT(ISNUMBER(FIND("으뜸", '2004~2025 시즌 결과'!$B33:$L33))*1)</f>
        <v>0</v>
      </c>
      <c r="AB35" s="43" cm="1">
        <f t="array" ref="AB35">SUMPRODUCT(ISNUMBER(FIND("버금", '2004~2025 시즌 결과'!$B33:$L33))*1)</f>
        <v>0</v>
      </c>
      <c r="AC35" s="107" t="s">
        <v>69</v>
      </c>
      <c r="AD35" s="103"/>
      <c r="AE35" s="103"/>
      <c r="AF35" s="104"/>
      <c r="AJ35" s="1"/>
      <c r="AK35" s="1"/>
    </row>
    <row r="36" spans="1:38">
      <c r="A36" s="55" t="s">
        <v>49</v>
      </c>
      <c r="B36" s="105" t="s">
        <v>128</v>
      </c>
      <c r="C36" s="105"/>
      <c r="D36" s="105"/>
      <c r="E36" s="105"/>
      <c r="F36" s="105"/>
      <c r="G36" s="105" t="s">
        <v>128</v>
      </c>
      <c r="H36" s="105"/>
      <c r="I36" s="105"/>
      <c r="J36" s="105"/>
      <c r="K36" s="132"/>
      <c r="L36" s="56" cm="1">
        <f t="array" ref="L36">SUMPRODUCT(ISNUMBER(FIND("으뜸우승", '2004~2025 시즌 결과'!$B34:$L34))*1)</f>
        <v>0</v>
      </c>
      <c r="M36" s="56" cm="1">
        <f t="array" ref="M36">SUMPRODUCT(ISNUMBER(FIND("으뜸준우승", '2004~2025 시즌 결과'!$B34:$L34))*1)</f>
        <v>0</v>
      </c>
      <c r="N36" s="56" cm="1">
        <f t="array" ref="N36">SUMPRODUCT(ISNUMBER(FIND("으뜸4강", '2004~2025 시즌 결과'!$B34:$L34))*1)</f>
        <v>0</v>
      </c>
      <c r="O36" s="56" cm="1">
        <f t="array" ref="O36">SUMPRODUCT(ISNUMBER(FIND("으뜸8강", '2004~2025 시즌 결과'!$B34:$L34))*1)</f>
        <v>0</v>
      </c>
      <c r="P36" s="40" cm="1">
        <f t="array" ref="P36">SUMPRODUCT(ISNUMBER(FIND("으뜸16강", '2004~2025 시즌 결과'!$B34:$L34))*1)</f>
        <v>0</v>
      </c>
      <c r="Q36" s="105" t="s">
        <v>128</v>
      </c>
      <c r="R36" s="105"/>
      <c r="S36" s="105"/>
      <c r="T36" s="105" t="s">
        <v>128</v>
      </c>
      <c r="U36" s="105"/>
      <c r="V36" s="105"/>
      <c r="W36" s="56" cm="1">
        <f t="array" ref="W36">SUMPRODUCT(ISNUMBER(FIND("버금4강", '2004~2025 시즌 결과'!$B34:$L34))*1)</f>
        <v>0</v>
      </c>
      <c r="X36" s="57" cm="1">
        <f t="array" ref="X36">SUMPRODUCT(ISNUMBER(FIND("버금8강", '2004~2025 시즌 결과'!$B34:$L34))*1)</f>
        <v>0</v>
      </c>
      <c r="Y36" s="57" cm="1">
        <f t="array" ref="Y36">SUMPRODUCT(ISNUMBER(FIND("버금16강", '2004~2025 시즌 결과'!$B34:$L34))*1)</f>
        <v>0</v>
      </c>
      <c r="Z36" s="40" cm="1">
        <f t="array" ref="Z36">SUM(COUNTIF('2004~2025 시즌 결과'!$B34:$L34, {"*버금23강*","*버금24강*","*버금32강*"}))</f>
        <v>0</v>
      </c>
      <c r="AA36" s="56" cm="1">
        <f t="array" ref="AA36">SUMPRODUCT(ISNUMBER(FIND("으뜸", '2004~2025 시즌 결과'!$B34:$L34))*1)</f>
        <v>0</v>
      </c>
      <c r="AB36" s="44" cm="1">
        <f t="array" ref="AB36">SUMPRODUCT(ISNUMBER(FIND("버금", '2004~2025 시즌 결과'!$B34:$L34))*1)</f>
        <v>0</v>
      </c>
      <c r="AC36" s="113" t="s">
        <v>69</v>
      </c>
      <c r="AD36" s="106"/>
      <c r="AE36" s="106"/>
      <c r="AF36" s="114"/>
      <c r="AJ36" s="1"/>
      <c r="AK36" s="1"/>
    </row>
    <row r="37" spans="1:38">
      <c r="A37" s="62" t="s">
        <v>28</v>
      </c>
      <c r="B37" s="92" t="s">
        <v>128</v>
      </c>
      <c r="C37" s="92"/>
      <c r="D37" s="92"/>
      <c r="E37" s="92"/>
      <c r="F37" s="92"/>
      <c r="G37" s="92" t="s">
        <v>128</v>
      </c>
      <c r="H37" s="92"/>
      <c r="I37" s="92"/>
      <c r="J37" s="92"/>
      <c r="K37" s="133"/>
      <c r="L37" s="63" cm="1">
        <f t="array" ref="L37">SUMPRODUCT(ISNUMBER(FIND("으뜸우승", '2004~2025 시즌 결과'!$B35:$L35))*1)</f>
        <v>0</v>
      </c>
      <c r="M37" s="63" cm="1">
        <f t="array" ref="M37">SUMPRODUCT(ISNUMBER(FIND("으뜸준우승", '2004~2025 시즌 결과'!$B35:$L35))*1)</f>
        <v>0</v>
      </c>
      <c r="N37" s="63" cm="1">
        <f t="array" ref="N37">SUMPRODUCT(ISNUMBER(FIND("으뜸4강", '2004~2025 시즌 결과'!$B35:$L35))*1)</f>
        <v>0</v>
      </c>
      <c r="O37" s="63" cm="1">
        <f t="array" ref="O37">SUMPRODUCT(ISNUMBER(FIND("으뜸8강", '2004~2025 시즌 결과'!$B35:$L35))*1)</f>
        <v>1</v>
      </c>
      <c r="P37" s="39" cm="1">
        <f t="array" ref="P37">SUMPRODUCT(ISNUMBER(FIND("으뜸16강", '2004~2025 시즌 결과'!$B35:$L35))*1)</f>
        <v>4</v>
      </c>
      <c r="Q37" s="103" t="s">
        <v>120</v>
      </c>
      <c r="R37" s="103"/>
      <c r="S37" s="103"/>
      <c r="T37" s="92" t="s">
        <v>128</v>
      </c>
      <c r="U37" s="92"/>
      <c r="V37" s="92"/>
      <c r="W37" s="65" cm="1">
        <f t="array" ref="W37">SUMPRODUCT(ISNUMBER(FIND("버금4강", '2004~2025 시즌 결과'!$B35:$L35))*1)</f>
        <v>1</v>
      </c>
      <c r="X37" s="64" cm="1">
        <f t="array" ref="X37">SUMPRODUCT(ISNUMBER(FIND("버금8강", '2004~2025 시즌 결과'!$B35:$L35))*1)</f>
        <v>1</v>
      </c>
      <c r="Y37" s="64" cm="1">
        <f t="array" ref="Y37">SUMPRODUCT(ISNUMBER(FIND("버금16강", '2004~2025 시즌 결과'!$B35:$L35))*1)</f>
        <v>1</v>
      </c>
      <c r="Z37" s="39" cm="1">
        <f t="array" ref="Z37">SUM(COUNTIF('2004~2025 시즌 결과'!$B35:$L35, {"*버금23강*","*버금24강*","*버금32강*"}))</f>
        <v>0</v>
      </c>
      <c r="AA37" s="63" cm="1">
        <f t="array" ref="AA37">SUMPRODUCT(ISNUMBER(FIND("으뜸", '2004~2025 시즌 결과'!$B35:$L35))*1)</f>
        <v>5</v>
      </c>
      <c r="AB37" s="43" cm="1">
        <f t="array" ref="AB37">SUMPRODUCT(ISNUMBER(FIND("버금", '2004~2025 시즌 결과'!$B35:$L35))*1)</f>
        <v>3</v>
      </c>
      <c r="AC37" s="107" t="s">
        <v>143</v>
      </c>
      <c r="AD37" s="103"/>
      <c r="AE37" s="103"/>
      <c r="AF37" s="104"/>
      <c r="AJ37" s="1"/>
      <c r="AK37" s="1"/>
    </row>
    <row r="38" spans="1:38">
      <c r="A38" s="55" t="s">
        <v>29</v>
      </c>
      <c r="B38" s="106" t="s">
        <v>85</v>
      </c>
      <c r="C38" s="106"/>
      <c r="D38" s="106"/>
      <c r="E38" s="106"/>
      <c r="F38" s="106"/>
      <c r="G38" s="137" t="s">
        <v>98</v>
      </c>
      <c r="H38" s="137"/>
      <c r="I38" s="137"/>
      <c r="J38" s="137"/>
      <c r="K38" s="138"/>
      <c r="L38" s="56" cm="1">
        <f t="array" ref="L38">SUMPRODUCT(ISNUMBER(FIND("으뜸우승", '2004~2025 시즌 결과'!$B36:$L36))*1)</f>
        <v>0</v>
      </c>
      <c r="M38" s="56" cm="1">
        <f t="array" ref="M38">SUMPRODUCT(ISNUMBER(FIND("으뜸준우승", '2004~2025 시즌 결과'!$B36:$L36))*1)</f>
        <v>0</v>
      </c>
      <c r="N38" s="56" cm="1">
        <f t="array" ref="N38">SUMPRODUCT(ISNUMBER(FIND("으뜸4강", '2004~2025 시즌 결과'!$B36:$L36))*1)</f>
        <v>0</v>
      </c>
      <c r="O38" s="56" cm="1">
        <f t="array" ref="O38">SUMPRODUCT(ISNUMBER(FIND("으뜸8강", '2004~2025 시즌 결과'!$B36:$L36))*1)</f>
        <v>2</v>
      </c>
      <c r="P38" s="40" cm="1">
        <f t="array" ref="P38">SUMPRODUCT(ISNUMBER(FIND("으뜸16강", '2004~2025 시즌 결과'!$B36:$L36))*1)</f>
        <v>2</v>
      </c>
      <c r="Q38" s="126" t="s">
        <v>136</v>
      </c>
      <c r="R38" s="126"/>
      <c r="S38" s="126"/>
      <c r="T38" s="106" t="s">
        <v>119</v>
      </c>
      <c r="U38" s="106"/>
      <c r="V38" s="106"/>
      <c r="W38" s="65" cm="1">
        <f t="array" ref="W38">SUMPRODUCT(ISNUMBER(FIND("버금4강", '2004~2025 시즌 결과'!$B36:$L36))*1)</f>
        <v>1</v>
      </c>
      <c r="X38" s="57" cm="1">
        <f t="array" ref="X38">SUMPRODUCT(ISNUMBER(FIND("버금8강", '2004~2025 시즌 결과'!$B36:$L36))*1)</f>
        <v>0</v>
      </c>
      <c r="Y38" s="57" cm="1">
        <f t="array" ref="Y38">SUMPRODUCT(ISNUMBER(FIND("버금16강", '2004~2025 시즌 결과'!$B36:$L36))*1)</f>
        <v>2</v>
      </c>
      <c r="Z38" s="40" cm="1">
        <f t="array" ref="Z38">SUM(COUNTIF('2004~2025 시즌 결과'!$B36:$L36, {"*버금23강*","*버금24강*","*버금32강*"}))</f>
        <v>0</v>
      </c>
      <c r="AA38" s="56" cm="1">
        <f t="array" ref="AA38">SUMPRODUCT(ISNUMBER(FIND("으뜸", '2004~2025 시즌 결과'!$B36:$L36))*1)</f>
        <v>4</v>
      </c>
      <c r="AB38" s="44" cm="1">
        <f t="array" ref="AB38">SUMPRODUCT(ISNUMBER(FIND("버금", '2004~2025 시즌 결과'!$B36:$L36))*1)</f>
        <v>5</v>
      </c>
      <c r="AC38" s="113" t="s">
        <v>154</v>
      </c>
      <c r="AD38" s="106"/>
      <c r="AE38" s="106"/>
      <c r="AF38" s="114"/>
      <c r="AJ38" s="1"/>
      <c r="AK38" s="1"/>
    </row>
    <row r="39" spans="1:38">
      <c r="A39" s="62" t="s">
        <v>30</v>
      </c>
      <c r="B39" s="125" t="s">
        <v>87</v>
      </c>
      <c r="C39" s="125"/>
      <c r="D39" s="125"/>
      <c r="E39" s="125"/>
      <c r="F39" s="125"/>
      <c r="G39" s="103" t="s">
        <v>108</v>
      </c>
      <c r="H39" s="103"/>
      <c r="I39" s="103"/>
      <c r="J39" s="103"/>
      <c r="K39" s="104"/>
      <c r="L39" s="63" cm="1">
        <f t="array" ref="L39">SUMPRODUCT(ISNUMBER(FIND("으뜸우승", '2004~2025 시즌 결과'!$B37:$L37))*1)</f>
        <v>0</v>
      </c>
      <c r="M39" s="65" cm="1">
        <f t="array" ref="M39">SUMPRODUCT(ISNUMBER(FIND("으뜸준우승", '2004~2025 시즌 결과'!$B37:$L37))*1)</f>
        <v>0</v>
      </c>
      <c r="N39" s="63" cm="1">
        <f t="array" ref="N39">SUMPRODUCT(ISNUMBER(FIND("으뜸4강", '2004~2025 시즌 결과'!$B37:$L37))*1)</f>
        <v>3</v>
      </c>
      <c r="O39" s="63" cm="1">
        <f t="array" ref="O39">SUMPRODUCT(ISNUMBER(FIND("으뜸8강", '2004~2025 시즌 결과'!$B37:$L37))*1)</f>
        <v>2</v>
      </c>
      <c r="P39" s="39" cm="1">
        <f t="array" ref="P39">SUMPRODUCT(ISNUMBER(FIND("으뜸16강", '2004~2025 시즌 결과'!$B37:$L37))*1)</f>
        <v>4</v>
      </c>
      <c r="Q39" s="103" t="s">
        <v>90</v>
      </c>
      <c r="R39" s="103"/>
      <c r="S39" s="103"/>
      <c r="T39" s="92" t="s">
        <v>128</v>
      </c>
      <c r="U39" s="92"/>
      <c r="V39" s="92"/>
      <c r="W39" s="63" cm="1">
        <f t="array" ref="W39">SUMPRODUCT(ISNUMBER(FIND("버금4강", '2004~2025 시즌 결과'!$B37:$L37))*1)</f>
        <v>0</v>
      </c>
      <c r="X39" s="64" cm="1">
        <f t="array" ref="X39">SUMPRODUCT(ISNUMBER(FIND("버금8강", '2004~2025 시즌 결과'!$B37:$L37))*1)</f>
        <v>0</v>
      </c>
      <c r="Y39" s="64" cm="1">
        <f t="array" ref="Y39">SUMPRODUCT(ISNUMBER(FIND("버금16강", '2004~2025 시즌 결과'!$B37:$L37))*1)</f>
        <v>0</v>
      </c>
      <c r="Z39" s="39" cm="1">
        <f t="array" ref="Z39">SUM(COUNTIF('2004~2025 시즌 결과'!$B37:$L37, {"*버금23강*","*버금24강*","*버금32강*"}))</f>
        <v>0</v>
      </c>
      <c r="AA39" s="63" cm="1">
        <f t="array" ref="AA39">SUMPRODUCT(ISNUMBER(FIND("으뜸", '2004~2025 시즌 결과'!$B37:$L37))*1)</f>
        <v>9</v>
      </c>
      <c r="AB39" s="43" cm="1">
        <f t="array" ref="AB39">SUMPRODUCT(ISNUMBER(FIND("버금", '2004~2025 시즌 결과'!$B37:$L37))*1)</f>
        <v>1</v>
      </c>
      <c r="AC39" s="107" t="s">
        <v>142</v>
      </c>
      <c r="AD39" s="103"/>
      <c r="AE39" s="103"/>
      <c r="AF39" s="104"/>
      <c r="AJ39" s="1"/>
      <c r="AK39" s="1"/>
    </row>
    <row r="40" spans="1:38">
      <c r="A40" s="55" t="s">
        <v>31</v>
      </c>
      <c r="B40" s="105" t="s">
        <v>128</v>
      </c>
      <c r="C40" s="105"/>
      <c r="D40" s="105"/>
      <c r="E40" s="105"/>
      <c r="F40" s="105"/>
      <c r="G40" s="105" t="s">
        <v>128</v>
      </c>
      <c r="H40" s="105"/>
      <c r="I40" s="105"/>
      <c r="J40" s="105"/>
      <c r="K40" s="132"/>
      <c r="L40" s="56" cm="1">
        <f t="array" ref="L40">SUMPRODUCT(ISNUMBER(FIND("으뜸우승", '2004~2025 시즌 결과'!$B38:$L38))*1)</f>
        <v>0</v>
      </c>
      <c r="M40" s="56" cm="1">
        <f t="array" ref="M40">SUMPRODUCT(ISNUMBER(FIND("으뜸준우승", '2004~2025 시즌 결과'!$B38:$L38))*1)</f>
        <v>0</v>
      </c>
      <c r="N40" s="56" cm="1">
        <f t="array" ref="N40">SUMPRODUCT(ISNUMBER(FIND("으뜸4강", '2004~2025 시즌 결과'!$B38:$L38))*1)</f>
        <v>0</v>
      </c>
      <c r="O40" s="56" cm="1">
        <f t="array" ref="O40">SUMPRODUCT(ISNUMBER(FIND("으뜸8강", '2004~2025 시즌 결과'!$B38:$L38))*1)</f>
        <v>0</v>
      </c>
      <c r="P40" s="40" cm="1">
        <f t="array" ref="P40">SUMPRODUCT(ISNUMBER(FIND("으뜸16강", '2004~2025 시즌 결과'!$B38:$L38))*1)</f>
        <v>0</v>
      </c>
      <c r="Q40" s="105" t="s">
        <v>128</v>
      </c>
      <c r="R40" s="105"/>
      <c r="S40" s="105"/>
      <c r="T40" s="105" t="s">
        <v>128</v>
      </c>
      <c r="U40" s="105"/>
      <c r="V40" s="105"/>
      <c r="W40" s="56" cm="1">
        <f t="array" ref="W40">SUMPRODUCT(ISNUMBER(FIND("버금4강", '2004~2025 시즌 결과'!$B38:$L38))*1)</f>
        <v>0</v>
      </c>
      <c r="X40" s="57" cm="1">
        <f t="array" ref="X40">SUMPRODUCT(ISNUMBER(FIND("버금8강", '2004~2025 시즌 결과'!$B38:$L38))*1)</f>
        <v>1</v>
      </c>
      <c r="Y40" s="57" cm="1">
        <f t="array" ref="Y40">SUMPRODUCT(ISNUMBER(FIND("버금16강", '2004~2025 시즌 결과'!$B38:$L38))*1)</f>
        <v>0</v>
      </c>
      <c r="Z40" s="40" cm="1">
        <f t="array" ref="Z40">SUM(COUNTIF('2004~2025 시즌 결과'!$B38:$L38, {"*버금23강*","*버금24강*","*버금32강*"}))</f>
        <v>0</v>
      </c>
      <c r="AA40" s="56" cm="1">
        <f t="array" ref="AA40">SUMPRODUCT(ISNUMBER(FIND("으뜸", '2004~2025 시즌 결과'!$B38:$L38))*1)</f>
        <v>0</v>
      </c>
      <c r="AB40" s="44" cm="1">
        <f t="array" ref="AB40">SUMPRODUCT(ISNUMBER(FIND("버금", '2004~2025 시즌 결과'!$B38:$L38))*1)</f>
        <v>1</v>
      </c>
      <c r="AC40" s="113" t="s">
        <v>148</v>
      </c>
      <c r="AD40" s="106"/>
      <c r="AE40" s="106"/>
      <c r="AF40" s="114"/>
      <c r="AJ40" s="1"/>
      <c r="AK40" s="1"/>
    </row>
    <row r="41" spans="1:38">
      <c r="A41" s="62" t="s">
        <v>63</v>
      </c>
      <c r="B41" s="92" t="s">
        <v>128</v>
      </c>
      <c r="C41" s="92"/>
      <c r="D41" s="92"/>
      <c r="E41" s="92"/>
      <c r="F41" s="92"/>
      <c r="G41" s="92" t="s">
        <v>128</v>
      </c>
      <c r="H41" s="92"/>
      <c r="I41" s="92"/>
      <c r="J41" s="92"/>
      <c r="K41" s="133"/>
      <c r="L41" s="63" cm="1">
        <f t="array" ref="L41">SUMPRODUCT(ISNUMBER(FIND("으뜸우승", '2004~2025 시즌 결과'!$B39:$L39))*1)</f>
        <v>0</v>
      </c>
      <c r="M41" s="63" cm="1">
        <f t="array" ref="M41">SUMPRODUCT(ISNUMBER(FIND("으뜸준우승", '2004~2025 시즌 결과'!$B39:$L39))*1)</f>
        <v>0</v>
      </c>
      <c r="N41" s="63" cm="1">
        <f t="array" ref="N41">SUMPRODUCT(ISNUMBER(FIND("으뜸4강", '2004~2025 시즌 결과'!$B39:$L39))*1)</f>
        <v>1</v>
      </c>
      <c r="O41" s="63" cm="1">
        <f t="array" ref="O41">SUMPRODUCT(ISNUMBER(FIND("으뜸8강", '2004~2025 시즌 결과'!$B39:$L39))*1)</f>
        <v>1</v>
      </c>
      <c r="P41" s="39" cm="1">
        <f t="array" ref="P41">SUMPRODUCT(ISNUMBER(FIND("으뜸16강", '2004~2025 시즌 결과'!$B39:$L39))*1)</f>
        <v>0</v>
      </c>
      <c r="Q41" s="126" t="s">
        <v>135</v>
      </c>
      <c r="R41" s="126"/>
      <c r="S41" s="126"/>
      <c r="T41" s="92" t="s">
        <v>128</v>
      </c>
      <c r="U41" s="92"/>
      <c r="V41" s="92"/>
      <c r="W41" s="63" cm="1">
        <f t="array" ref="W41">SUMPRODUCT(ISNUMBER(FIND("버금4강", '2004~2025 시즌 결과'!$B39:$L39))*1)</f>
        <v>1</v>
      </c>
      <c r="X41" s="64" cm="1">
        <f t="array" ref="X41">SUMPRODUCT(ISNUMBER(FIND("버금8강", '2004~2025 시즌 결과'!$B39:$L39))*1)</f>
        <v>2</v>
      </c>
      <c r="Y41" s="64" cm="1">
        <f t="array" ref="Y41">SUMPRODUCT(ISNUMBER(FIND("버금16강", '2004~2025 시즌 결과'!$B39:$L39))*1)</f>
        <v>1</v>
      </c>
      <c r="Z41" s="39" cm="1">
        <f t="array" ref="Z41">SUM(COUNTIF('2004~2025 시즌 결과'!$B39:$L39, {"*버금23강*","*버금24강*","*버금32강*"}))</f>
        <v>0</v>
      </c>
      <c r="AA41" s="63" cm="1">
        <f t="array" ref="AA41">SUMPRODUCT(ISNUMBER(FIND("으뜸", '2004~2025 시즌 결과'!$B39:$L39))*1)</f>
        <v>2</v>
      </c>
      <c r="AB41" s="43" cm="1">
        <f t="array" ref="AB41">SUMPRODUCT(ISNUMBER(FIND("버금", '2004~2025 시즌 결과'!$B39:$L39))*1)</f>
        <v>5</v>
      </c>
      <c r="AC41" s="107" t="s">
        <v>155</v>
      </c>
      <c r="AD41" s="103"/>
      <c r="AE41" s="103"/>
      <c r="AF41" s="104"/>
      <c r="AJ41" s="1"/>
      <c r="AK41" s="1"/>
    </row>
    <row r="42" spans="1:38">
      <c r="A42" s="55" t="s">
        <v>50</v>
      </c>
      <c r="B42" s="105" t="s">
        <v>128</v>
      </c>
      <c r="C42" s="105"/>
      <c r="D42" s="105"/>
      <c r="E42" s="105"/>
      <c r="F42" s="105"/>
      <c r="G42" s="105" t="s">
        <v>128</v>
      </c>
      <c r="H42" s="105"/>
      <c r="I42" s="105"/>
      <c r="J42" s="105"/>
      <c r="K42" s="132"/>
      <c r="L42" s="56" cm="1">
        <f t="array" ref="L42">SUMPRODUCT(ISNUMBER(FIND("으뜸우승", '2004~2025 시즌 결과'!$B40:$L40))*1)</f>
        <v>0</v>
      </c>
      <c r="M42" s="56" cm="1">
        <f t="array" ref="M42">SUMPRODUCT(ISNUMBER(FIND("으뜸준우승", '2004~2025 시즌 결과'!$B40:$L40))*1)</f>
        <v>0</v>
      </c>
      <c r="N42" s="56" cm="1">
        <f t="array" ref="N42">SUMPRODUCT(ISNUMBER(FIND("으뜸4강", '2004~2025 시즌 결과'!$B40:$L40))*1)</f>
        <v>0</v>
      </c>
      <c r="O42" s="56" cm="1">
        <f t="array" ref="O42">SUMPRODUCT(ISNUMBER(FIND("으뜸8강", '2004~2025 시즌 결과'!$B40:$L40))*1)</f>
        <v>0</v>
      </c>
      <c r="P42" s="40" cm="1">
        <f t="array" ref="P42">SUMPRODUCT(ISNUMBER(FIND("으뜸16강", '2004~2025 시즌 결과'!$B40:$L40))*1)</f>
        <v>1</v>
      </c>
      <c r="Q42" s="105" t="s">
        <v>128</v>
      </c>
      <c r="R42" s="105"/>
      <c r="S42" s="105"/>
      <c r="T42" s="105" t="s">
        <v>128</v>
      </c>
      <c r="U42" s="105"/>
      <c r="V42" s="105"/>
      <c r="W42" s="56" cm="1">
        <f t="array" ref="W42">SUMPRODUCT(ISNUMBER(FIND("버금4강", '2004~2025 시즌 결과'!$B40:$L40))*1)</f>
        <v>2</v>
      </c>
      <c r="X42" s="57" cm="1">
        <f t="array" ref="X42">SUMPRODUCT(ISNUMBER(FIND("버금8강", '2004~2025 시즌 결과'!$B40:$L40))*1)</f>
        <v>0</v>
      </c>
      <c r="Y42" s="57" cm="1">
        <f t="array" ref="Y42">SUMPRODUCT(ISNUMBER(FIND("버금16강", '2004~2025 시즌 결과'!$B40:$L40))*1)</f>
        <v>2</v>
      </c>
      <c r="Z42" s="40" cm="1">
        <f t="array" ref="Z42">SUM(COUNTIF('2004~2025 시즌 결과'!$B40:$L40, {"*버금23강*","*버금24강*","*버금32강*"}))</f>
        <v>0</v>
      </c>
      <c r="AA42" s="56" cm="1">
        <f t="array" ref="AA42">SUMPRODUCT(ISNUMBER(FIND("으뜸", '2004~2025 시즌 결과'!$B40:$L40))*1)</f>
        <v>1</v>
      </c>
      <c r="AB42" s="44" cm="1">
        <f t="array" ref="AB42">SUMPRODUCT(ISNUMBER(FIND("버금", '2004~2025 시즌 결과'!$B40:$L40))*1)</f>
        <v>4</v>
      </c>
      <c r="AC42" s="113"/>
      <c r="AD42" s="106"/>
      <c r="AE42" s="106"/>
      <c r="AF42" s="114"/>
      <c r="AJ42" s="1"/>
      <c r="AK42" s="1"/>
    </row>
    <row r="43" spans="1:38">
      <c r="A43" s="67" t="s">
        <v>32</v>
      </c>
      <c r="B43" s="92" t="s">
        <v>128</v>
      </c>
      <c r="C43" s="92"/>
      <c r="D43" s="92"/>
      <c r="E43" s="92"/>
      <c r="F43" s="92"/>
      <c r="G43" s="103" t="s">
        <v>95</v>
      </c>
      <c r="H43" s="103"/>
      <c r="I43" s="103"/>
      <c r="J43" s="103"/>
      <c r="K43" s="104"/>
      <c r="L43" s="63" cm="1">
        <f t="array" ref="L43">SUMPRODUCT(ISNUMBER(FIND("으뜸우승", '2004~2025 시즌 결과'!$B41:$L41))*1)</f>
        <v>0</v>
      </c>
      <c r="M43" s="63" cm="1">
        <f t="array" ref="M43">SUMPRODUCT(ISNUMBER(FIND("으뜸준우승", '2004~2025 시즌 결과'!$B41:$L41))*1)</f>
        <v>0</v>
      </c>
      <c r="N43" s="63" cm="1">
        <f t="array" ref="N43">SUMPRODUCT(ISNUMBER(FIND("으뜸4강", '2004~2025 시즌 결과'!$B41:$L41))*1)</f>
        <v>0</v>
      </c>
      <c r="O43" s="63" cm="1">
        <f t="array" ref="O43">SUMPRODUCT(ISNUMBER(FIND("으뜸8강", '2004~2025 시즌 결과'!$B41:$L41))*1)</f>
        <v>0</v>
      </c>
      <c r="P43" s="39" cm="1">
        <f t="array" ref="P43">SUMPRODUCT(ISNUMBER(FIND("으뜸16강", '2004~2025 시즌 결과'!$B41:$L41))*1)</f>
        <v>1</v>
      </c>
      <c r="Q43" s="92" t="s">
        <v>128</v>
      </c>
      <c r="R43" s="92"/>
      <c r="S43" s="92"/>
      <c r="T43" s="103" t="s">
        <v>170</v>
      </c>
      <c r="U43" s="103"/>
      <c r="V43" s="103"/>
      <c r="W43" s="63" cm="1">
        <f t="array" ref="W43">SUMPRODUCT(ISNUMBER(FIND("버금4강", '2004~2025 시즌 결과'!$B41:$L41))*1)</f>
        <v>0</v>
      </c>
      <c r="X43" s="64" cm="1">
        <f t="array" ref="X43">SUMPRODUCT(ISNUMBER(FIND("버금8강", '2004~2025 시즌 결과'!$B41:$L41))*1)</f>
        <v>1</v>
      </c>
      <c r="Y43" s="64" cm="1">
        <f t="array" ref="Y43">SUMPRODUCT(ISNUMBER(FIND("버금16강", '2004~2025 시즌 결과'!$B41:$L41))*1)</f>
        <v>4</v>
      </c>
      <c r="Z43" s="39" cm="1">
        <f t="array" ref="Z43">SUM(COUNTIF('2004~2025 시즌 결과'!$B41:$L41, {"*버금23강*","*버금24강*","*버금32강*"}))</f>
        <v>0</v>
      </c>
      <c r="AA43" s="63" cm="1">
        <f t="array" ref="AA43">SUMPRODUCT(ISNUMBER(FIND("으뜸", '2004~2025 시즌 결과'!$B41:$L41))*1)</f>
        <v>1</v>
      </c>
      <c r="AB43" s="45" cm="1">
        <f t="array" ref="AB43">SUMPRODUCT(ISNUMBER(FIND("버금", '2004~2025 시즌 결과'!$B41:$L41))*1)</f>
        <v>6</v>
      </c>
      <c r="AC43" s="107" t="s">
        <v>153</v>
      </c>
      <c r="AD43" s="103"/>
      <c r="AE43" s="103"/>
      <c r="AF43" s="104"/>
      <c r="AJ43" s="1"/>
      <c r="AK43" s="1"/>
    </row>
    <row r="44" spans="1:38">
      <c r="A44" s="55" t="s">
        <v>33</v>
      </c>
      <c r="B44" s="126" t="s">
        <v>131</v>
      </c>
      <c r="C44" s="126"/>
      <c r="D44" s="126"/>
      <c r="E44" s="126"/>
      <c r="F44" s="126"/>
      <c r="G44" s="106" t="s">
        <v>101</v>
      </c>
      <c r="H44" s="106"/>
      <c r="I44" s="106"/>
      <c r="J44" s="106"/>
      <c r="K44" s="114"/>
      <c r="L44" s="56" cm="1">
        <f t="array" ref="L44">SUMPRODUCT(ISNUMBER(FIND("으뜸우승", '2004~2025 시즌 결과'!$B42:$L42))*1)</f>
        <v>0</v>
      </c>
      <c r="M44" s="56" cm="1">
        <f t="array" ref="M44">SUMPRODUCT(ISNUMBER(FIND("으뜸준우승", '2004~2025 시즌 결과'!$B42:$L42))*1)</f>
        <v>1</v>
      </c>
      <c r="N44" s="56" cm="1">
        <f t="array" ref="N44">SUMPRODUCT(ISNUMBER(FIND("으뜸4강", '2004~2025 시즌 결과'!$B42:$L42))*1)</f>
        <v>1</v>
      </c>
      <c r="O44" s="56" cm="1">
        <f t="array" ref="O44">SUMPRODUCT(ISNUMBER(FIND("으뜸8강", '2004~2025 시즌 결과'!$B42:$L42))*1)</f>
        <v>2</v>
      </c>
      <c r="P44" s="40" cm="1">
        <f t="array" ref="P44">SUMPRODUCT(ISNUMBER(FIND("으뜸16강", '2004~2025 시즌 결과'!$B42:$L42))*1)</f>
        <v>2</v>
      </c>
      <c r="Q44" s="105" t="s">
        <v>128</v>
      </c>
      <c r="R44" s="105"/>
      <c r="S44" s="105"/>
      <c r="T44" s="106" t="s">
        <v>121</v>
      </c>
      <c r="U44" s="106"/>
      <c r="V44" s="106"/>
      <c r="W44" s="56" cm="1">
        <f t="array" ref="W44">SUMPRODUCT(ISNUMBER(FIND("버금4강", '2004~2025 시즌 결과'!$B42:$L42))*1)</f>
        <v>1</v>
      </c>
      <c r="X44" s="66" cm="1">
        <f t="array" ref="X44">SUMPRODUCT(ISNUMBER(FIND("버금8강", '2004~2025 시즌 결과'!$B42:$L42))*1)</f>
        <v>1</v>
      </c>
      <c r="Y44" s="57" cm="1">
        <f t="array" ref="Y44">SUMPRODUCT(ISNUMBER(FIND("버금16강", '2004~2025 시즌 결과'!$B42:$L42))*1)</f>
        <v>1</v>
      </c>
      <c r="Z44" s="40" cm="1">
        <f t="array" ref="Z44">SUM(COUNTIF('2004~2025 시즌 결과'!$B42:$L42, {"*버금23강*","*버금24강*","*버금32강*"}))</f>
        <v>0</v>
      </c>
      <c r="AA44" s="56" cm="1">
        <f t="array" ref="AA44">SUMPRODUCT(ISNUMBER(FIND("으뜸", '2004~2025 시즌 결과'!$B42:$L42))*1)</f>
        <v>6</v>
      </c>
      <c r="AB44" s="44" cm="1">
        <f t="array" ref="AB44">SUMPRODUCT(ISNUMBER(FIND("버금", '2004~2025 시즌 결과'!$B42:$L42))*1)</f>
        <v>4</v>
      </c>
      <c r="AC44" s="113" t="s">
        <v>144</v>
      </c>
      <c r="AD44" s="106"/>
      <c r="AE44" s="106"/>
      <c r="AF44" s="114"/>
      <c r="AJ44" s="1"/>
      <c r="AK44" s="1"/>
    </row>
    <row r="45" spans="1:38">
      <c r="A45" s="67" t="s">
        <v>34</v>
      </c>
      <c r="B45" s="103" t="s">
        <v>82</v>
      </c>
      <c r="C45" s="103"/>
      <c r="D45" s="103"/>
      <c r="E45" s="103"/>
      <c r="F45" s="103"/>
      <c r="G45" s="92" t="s">
        <v>128</v>
      </c>
      <c r="H45" s="92"/>
      <c r="I45" s="92"/>
      <c r="J45" s="92"/>
      <c r="K45" s="133"/>
      <c r="L45" s="63" cm="1">
        <f t="array" ref="L45">SUMPRODUCT(ISNUMBER(FIND("으뜸우승", '2004~2025 시즌 결과'!$B43:$L43))*1)</f>
        <v>0</v>
      </c>
      <c r="M45" s="63" cm="1">
        <f t="array" ref="M45">SUMPRODUCT(ISNUMBER(FIND("으뜸준우승", '2004~2025 시즌 결과'!$B43:$L43))*1)</f>
        <v>0</v>
      </c>
      <c r="N45" s="63" cm="1">
        <f t="array" ref="N45">SUMPRODUCT(ISNUMBER(FIND("으뜸4강", '2004~2025 시즌 결과'!$B43:$L43))*1)</f>
        <v>0</v>
      </c>
      <c r="O45" s="63" cm="1">
        <f t="array" ref="O45">SUMPRODUCT(ISNUMBER(FIND("으뜸8강", '2004~2025 시즌 결과'!$B43:$L43))*1)</f>
        <v>0</v>
      </c>
      <c r="P45" s="39" cm="1">
        <f t="array" ref="P45">SUMPRODUCT(ISNUMBER(FIND("으뜸16강", '2004~2025 시즌 결과'!$B43:$L43))*1)</f>
        <v>1</v>
      </c>
      <c r="Q45" s="103" t="s">
        <v>122</v>
      </c>
      <c r="R45" s="103"/>
      <c r="S45" s="103"/>
      <c r="T45" s="92" t="s">
        <v>128</v>
      </c>
      <c r="U45" s="92"/>
      <c r="V45" s="92"/>
      <c r="W45" s="63" cm="1">
        <f t="array" ref="W45">SUMPRODUCT(ISNUMBER(FIND("버금4강", '2004~2025 시즌 결과'!$B43:$L43))*1)</f>
        <v>1</v>
      </c>
      <c r="X45" s="64" cm="1">
        <f t="array" ref="X45">SUMPRODUCT(ISNUMBER(FIND("버금8강", '2004~2025 시즌 결과'!$B43:$L43))*1)</f>
        <v>2</v>
      </c>
      <c r="Y45" s="64" cm="1">
        <f t="array" ref="Y45">SUMPRODUCT(ISNUMBER(FIND("버금16강", '2004~2025 시즌 결과'!$B43:$L43))*1)</f>
        <v>2</v>
      </c>
      <c r="Z45" s="39" cm="1">
        <f t="array" ref="Z45">SUM(COUNTIF('2004~2025 시즌 결과'!$B43:$L43, {"*버금23강*","*버금24강*","*버금32강*"}))</f>
        <v>0</v>
      </c>
      <c r="AA45" s="63" cm="1">
        <f t="array" ref="AA45">SUMPRODUCT(ISNUMBER(FIND("으뜸", '2004~2025 시즌 결과'!$B43:$L43))*1)</f>
        <v>1</v>
      </c>
      <c r="AB45" s="43" cm="1">
        <f t="array" ref="AB45">SUMPRODUCT(ISNUMBER(FIND("버금", '2004~2025 시즌 결과'!$B43:$L43))*1)</f>
        <v>6</v>
      </c>
      <c r="AC45" s="107" t="s">
        <v>142</v>
      </c>
      <c r="AD45" s="103"/>
      <c r="AE45" s="103"/>
      <c r="AF45" s="104"/>
      <c r="AG45" s="1"/>
      <c r="AH45" s="1"/>
      <c r="AI45" s="1"/>
      <c r="AJ45" s="1"/>
      <c r="AK45" s="1"/>
      <c r="AL45" s="1"/>
    </row>
    <row r="46" spans="1:38">
      <c r="A46" s="55" t="s">
        <v>35</v>
      </c>
      <c r="B46" s="105" t="s">
        <v>128</v>
      </c>
      <c r="C46" s="105"/>
      <c r="D46" s="105"/>
      <c r="E46" s="105"/>
      <c r="F46" s="105"/>
      <c r="G46" s="105" t="s">
        <v>128</v>
      </c>
      <c r="H46" s="105"/>
      <c r="I46" s="105"/>
      <c r="J46" s="105"/>
      <c r="K46" s="132"/>
      <c r="L46" s="56" cm="1">
        <f t="array" ref="L46">SUMPRODUCT(ISNUMBER(FIND("으뜸우승", '2004~2025 시즌 결과'!$B44:$L44))*1)</f>
        <v>0</v>
      </c>
      <c r="M46" s="56" cm="1">
        <f t="array" ref="M46">SUMPRODUCT(ISNUMBER(FIND("으뜸준우승", '2004~2025 시즌 결과'!$B44:$L44))*1)</f>
        <v>0</v>
      </c>
      <c r="N46" s="56" cm="1">
        <f t="array" ref="N46">SUMPRODUCT(ISNUMBER(FIND("으뜸4강", '2004~2025 시즌 결과'!$B44:$L44))*1)</f>
        <v>1</v>
      </c>
      <c r="O46" s="56" cm="1">
        <f t="array" ref="O46">SUMPRODUCT(ISNUMBER(FIND("으뜸8강", '2004~2025 시즌 결과'!$B44:$L44))*1)</f>
        <v>0</v>
      </c>
      <c r="P46" s="40" cm="1">
        <f t="array" ref="P46">SUMPRODUCT(ISNUMBER(FIND("으뜸16강", '2004~2025 시즌 결과'!$B44:$L44))*1)</f>
        <v>1</v>
      </c>
      <c r="Q46" s="126" t="s">
        <v>134</v>
      </c>
      <c r="R46" s="126"/>
      <c r="S46" s="126"/>
      <c r="T46" s="106" t="s">
        <v>116</v>
      </c>
      <c r="U46" s="106"/>
      <c r="V46" s="106"/>
      <c r="W46" s="56" cm="1">
        <f t="array" ref="W46">SUMPRODUCT(ISNUMBER(FIND("버금4강", '2004~2025 시즌 결과'!$B44:$L44))*1)</f>
        <v>0</v>
      </c>
      <c r="X46" s="57" cm="1">
        <f t="array" ref="X46">SUMPRODUCT(ISNUMBER(FIND("버금8강", '2004~2025 시즌 결과'!$B44:$L44))*1)</f>
        <v>2</v>
      </c>
      <c r="Y46" s="57" cm="1">
        <f t="array" ref="Y46">SUMPRODUCT(ISNUMBER(FIND("버금16강", '2004~2025 시즌 결과'!$B44:$L44))*1)</f>
        <v>3</v>
      </c>
      <c r="Z46" s="40" cm="1">
        <f t="array" ref="Z46">SUM(COUNTIF('2004~2025 시즌 결과'!$B44:$L44, {"*버금23강*","*버금24강*","*버금32강*"}))</f>
        <v>0</v>
      </c>
      <c r="AA46" s="56" cm="1">
        <f t="array" ref="AA46">SUMPRODUCT(ISNUMBER(FIND("으뜸", '2004~2025 시즌 결과'!$B44:$L44))*1)</f>
        <v>2</v>
      </c>
      <c r="AB46" s="45" cm="1">
        <f t="array" ref="AB46">SUMPRODUCT(ISNUMBER(FIND("버금", '2004~2025 시즌 결과'!$B44:$L44))*1)</f>
        <v>5</v>
      </c>
      <c r="AC46" s="113" t="s">
        <v>142</v>
      </c>
      <c r="AD46" s="106"/>
      <c r="AE46" s="106"/>
      <c r="AF46" s="114"/>
      <c r="AJ46" s="1"/>
      <c r="AK46" s="1"/>
    </row>
    <row r="47" spans="1:38">
      <c r="A47" s="67" t="s">
        <v>36</v>
      </c>
      <c r="B47" s="92" t="s">
        <v>128</v>
      </c>
      <c r="C47" s="92"/>
      <c r="D47" s="92"/>
      <c r="E47" s="92"/>
      <c r="F47" s="92"/>
      <c r="G47" s="92" t="s">
        <v>128</v>
      </c>
      <c r="H47" s="92"/>
      <c r="I47" s="92"/>
      <c r="J47" s="92"/>
      <c r="K47" s="133"/>
      <c r="L47" s="63" cm="1">
        <f t="array" ref="L47">SUMPRODUCT(ISNUMBER(FIND("으뜸우승", '2004~2025 시즌 결과'!$B45:$L45))*1)</f>
        <v>0</v>
      </c>
      <c r="M47" s="63" cm="1">
        <f t="array" ref="M47">SUMPRODUCT(ISNUMBER(FIND("으뜸준우승", '2004~2025 시즌 결과'!$B45:$L45))*1)</f>
        <v>0</v>
      </c>
      <c r="N47" s="63" cm="1">
        <f t="array" ref="N47">SUMPRODUCT(ISNUMBER(FIND("으뜸4강", '2004~2025 시즌 결과'!$B45:$L45))*1)</f>
        <v>0</v>
      </c>
      <c r="O47" s="63" cm="1">
        <f t="array" ref="O47">SUMPRODUCT(ISNUMBER(FIND("으뜸8강", '2004~2025 시즌 결과'!$B45:$L45))*1)</f>
        <v>0</v>
      </c>
      <c r="P47" s="39" cm="1">
        <f t="array" ref="P47">SUMPRODUCT(ISNUMBER(FIND("으뜸16강", '2004~2025 시즌 결과'!$B45:$L45))*1)</f>
        <v>0</v>
      </c>
      <c r="Q47" s="92" t="s">
        <v>128</v>
      </c>
      <c r="R47" s="92"/>
      <c r="S47" s="92"/>
      <c r="T47" s="92" t="s">
        <v>128</v>
      </c>
      <c r="U47" s="92"/>
      <c r="V47" s="92"/>
      <c r="W47" s="63" cm="1">
        <f t="array" ref="W47">SUMPRODUCT(ISNUMBER(FIND("버금4강", '2004~2025 시즌 결과'!$B45:$L45))*1)</f>
        <v>0</v>
      </c>
      <c r="X47" s="64" cm="1">
        <f t="array" ref="X47">SUMPRODUCT(ISNUMBER(FIND("버금8강", '2004~2025 시즌 결과'!$B45:$L45))*1)</f>
        <v>0</v>
      </c>
      <c r="Y47" s="64" cm="1">
        <f t="array" ref="Y47">SUMPRODUCT(ISNUMBER(FIND("버금16강", '2004~2025 시즌 결과'!$B45:$L45))*1)</f>
        <v>0</v>
      </c>
      <c r="Z47" s="39" cm="1">
        <f t="array" ref="Z47">SUM(COUNTIF('2004~2025 시즌 결과'!$B45:$L45, {"*버금23강*","*버금24강*","*버금32강*"}))</f>
        <v>0</v>
      </c>
      <c r="AA47" s="63" cm="1">
        <f t="array" ref="AA47">SUMPRODUCT(ISNUMBER(FIND("으뜸", '2004~2025 시즌 결과'!$B45:$L45))*1)</f>
        <v>0</v>
      </c>
      <c r="AB47" s="43" cm="1">
        <f t="array" ref="AB47">SUMPRODUCT(ISNUMBER(FIND("버금", '2004~2025 시즌 결과'!$B45:$L45))*1)</f>
        <v>0</v>
      </c>
      <c r="AC47" s="107" t="s">
        <v>69</v>
      </c>
      <c r="AD47" s="103"/>
      <c r="AE47" s="103"/>
      <c r="AF47" s="104"/>
      <c r="AJ47" s="1"/>
      <c r="AK47" s="1"/>
    </row>
    <row r="48" spans="1:38">
      <c r="A48" s="55" t="s">
        <v>37</v>
      </c>
      <c r="B48" s="105" t="s">
        <v>128</v>
      </c>
      <c r="C48" s="105"/>
      <c r="D48" s="105"/>
      <c r="E48" s="105"/>
      <c r="F48" s="105"/>
      <c r="G48" s="105" t="s">
        <v>128</v>
      </c>
      <c r="H48" s="105"/>
      <c r="I48" s="105"/>
      <c r="J48" s="105"/>
      <c r="K48" s="132"/>
      <c r="L48" s="56" cm="1">
        <f t="array" ref="L48">SUMPRODUCT(ISNUMBER(FIND("으뜸우승", '2004~2025 시즌 결과'!$B46:$L46))*1)</f>
        <v>0</v>
      </c>
      <c r="M48" s="56" cm="1">
        <f t="array" ref="M48">SUMPRODUCT(ISNUMBER(FIND("으뜸준우승", '2004~2025 시즌 결과'!$B46:$L46))*1)</f>
        <v>0</v>
      </c>
      <c r="N48" s="56" cm="1">
        <f t="array" ref="N48">SUMPRODUCT(ISNUMBER(FIND("으뜸4강", '2004~2025 시즌 결과'!$B46:$L46))*1)</f>
        <v>0</v>
      </c>
      <c r="O48" s="56" cm="1">
        <f t="array" ref="O48">SUMPRODUCT(ISNUMBER(FIND("으뜸8강", '2004~2025 시즌 결과'!$B46:$L46))*1)</f>
        <v>0</v>
      </c>
      <c r="P48" s="40" cm="1">
        <f t="array" ref="P48">SUMPRODUCT(ISNUMBER(FIND("으뜸16강", '2004~2025 시즌 결과'!$B46:$L46))*1)</f>
        <v>0</v>
      </c>
      <c r="Q48" s="105" t="s">
        <v>128</v>
      </c>
      <c r="R48" s="105"/>
      <c r="S48" s="105"/>
      <c r="T48" s="105" t="s">
        <v>128</v>
      </c>
      <c r="U48" s="105"/>
      <c r="V48" s="105"/>
      <c r="W48" s="56" cm="1">
        <f t="array" ref="W48">SUMPRODUCT(ISNUMBER(FIND("버금4강", '2004~2025 시즌 결과'!$B46:$L46))*1)</f>
        <v>1</v>
      </c>
      <c r="X48" s="66" cm="1">
        <f t="array" ref="X48">SUMPRODUCT(ISNUMBER(FIND("버금8강", '2004~2025 시즌 결과'!$B46:$L46))*1)</f>
        <v>2</v>
      </c>
      <c r="Y48" s="57" cm="1">
        <f t="array" ref="Y48">SUMPRODUCT(ISNUMBER(FIND("버금16강", '2004~2025 시즌 결과'!$B46:$L46))*1)</f>
        <v>3</v>
      </c>
      <c r="Z48" s="40" cm="1">
        <f t="array" ref="Z48">SUM(COUNTIF('2004~2025 시즌 결과'!$B46:$L46, {"*버금23강*","*버금24강*","*버금32강*"}))</f>
        <v>0</v>
      </c>
      <c r="AA48" s="56" cm="1">
        <f t="array" ref="AA48">SUMPRODUCT(ISNUMBER(FIND("으뜸", '2004~2025 시즌 결과'!$B46:$L46))*1)</f>
        <v>0</v>
      </c>
      <c r="AB48" s="45" cm="1">
        <f t="array" ref="AB48">SUMPRODUCT(ISNUMBER(FIND("버금", '2004~2025 시즌 결과'!$B46:$L46))*1)</f>
        <v>6</v>
      </c>
      <c r="AC48" s="113" t="s">
        <v>142</v>
      </c>
      <c r="AD48" s="106"/>
      <c r="AE48" s="106"/>
      <c r="AF48" s="114"/>
      <c r="AJ48" s="1"/>
      <c r="AK48" s="1"/>
    </row>
    <row r="49" spans="1:39">
      <c r="A49" s="67" t="s">
        <v>38</v>
      </c>
      <c r="B49" s="103" t="s">
        <v>91</v>
      </c>
      <c r="C49" s="103"/>
      <c r="D49" s="103"/>
      <c r="E49" s="103"/>
      <c r="F49" s="103"/>
      <c r="G49" s="103" t="s">
        <v>90</v>
      </c>
      <c r="H49" s="103"/>
      <c r="I49" s="103"/>
      <c r="J49" s="103"/>
      <c r="K49" s="104"/>
      <c r="L49" s="63" cm="1">
        <f t="array" ref="L49">SUMPRODUCT(ISNUMBER(FIND("으뜸우승", '2004~2025 시즌 결과'!$B47:$L47))*1)</f>
        <v>2</v>
      </c>
      <c r="M49" s="63" cm="1">
        <f t="array" ref="M49">SUMPRODUCT(ISNUMBER(FIND("으뜸준우승", '2004~2025 시즌 결과'!$B47:$L47))*1)</f>
        <v>1</v>
      </c>
      <c r="N49" s="63" cm="1">
        <f t="array" ref="N49">SUMPRODUCT(ISNUMBER(FIND("으뜸4강", '2004~2025 시즌 결과'!$B47:$L47))*1)</f>
        <v>0</v>
      </c>
      <c r="O49" s="63" cm="1">
        <f t="array" ref="O49">SUMPRODUCT(ISNUMBER(FIND("으뜸8강", '2004~2025 시즌 결과'!$B47:$L47))*1)</f>
        <v>0</v>
      </c>
      <c r="P49" s="39" cm="1">
        <f t="array" ref="P49">SUMPRODUCT(ISNUMBER(FIND("으뜸16강", '2004~2025 시즌 결과'!$B47:$L47))*1)</f>
        <v>3</v>
      </c>
      <c r="Q49" s="103" t="s">
        <v>121</v>
      </c>
      <c r="R49" s="103"/>
      <c r="S49" s="103"/>
      <c r="T49" s="92" t="s">
        <v>128</v>
      </c>
      <c r="U49" s="92"/>
      <c r="V49" s="92"/>
      <c r="W49" s="68" cm="1">
        <f t="array" ref="W49">SUMPRODUCT(ISNUMBER(FIND("버금4강", '2004~2025 시즌 결과'!$B47:$L47))*1)</f>
        <v>1</v>
      </c>
      <c r="X49" s="64" cm="1">
        <f t="array" ref="X49">SUMPRODUCT(ISNUMBER(FIND("버금8강", '2004~2025 시즌 결과'!$B47:$L47))*1)</f>
        <v>1</v>
      </c>
      <c r="Y49" s="64" cm="1">
        <f t="array" ref="Y49">SUMPRODUCT(ISNUMBER(FIND("버금16강", '2004~2025 시즌 결과'!$B47:$L47))*1)</f>
        <v>1</v>
      </c>
      <c r="Z49" s="39" cm="1">
        <f t="array" ref="Z49">SUM(COUNTIF('2004~2025 시즌 결과'!$B47:$L47, {"*버금23강*","*버금24강*","*버금32강*"}))</f>
        <v>0</v>
      </c>
      <c r="AA49" s="63" cm="1">
        <f t="array" ref="AA49">SUMPRODUCT(ISNUMBER(FIND("으뜸", '2004~2025 시즌 결과'!$B47:$L47))*1)</f>
        <v>6</v>
      </c>
      <c r="AB49" s="43" cm="1">
        <f t="array" ref="AB49">SUMPRODUCT(ISNUMBER(FIND("버금", '2004~2025 시즌 결과'!$B47:$L47))*1)</f>
        <v>4</v>
      </c>
      <c r="AC49" s="107" t="s">
        <v>142</v>
      </c>
      <c r="AD49" s="103"/>
      <c r="AE49" s="103"/>
      <c r="AF49" s="104"/>
      <c r="AJ49" s="1"/>
      <c r="AK49" s="1"/>
    </row>
    <row r="50" spans="1:39">
      <c r="A50" s="55" t="s">
        <v>39</v>
      </c>
      <c r="B50" s="106" t="s">
        <v>78</v>
      </c>
      <c r="C50" s="106"/>
      <c r="D50" s="106"/>
      <c r="E50" s="106"/>
      <c r="F50" s="106"/>
      <c r="G50" s="105" t="s">
        <v>128</v>
      </c>
      <c r="H50" s="105"/>
      <c r="I50" s="105"/>
      <c r="J50" s="105"/>
      <c r="K50" s="132"/>
      <c r="L50" s="56" cm="1">
        <f t="array" ref="L50">SUMPRODUCT(ISNUMBER(FIND("으뜸우승", '2004~2025 시즌 결과'!$B48:$L48))*1)</f>
        <v>0</v>
      </c>
      <c r="M50" s="56" cm="1">
        <f t="array" ref="M50">SUMPRODUCT(ISNUMBER(FIND("으뜸준우승", '2004~2025 시즌 결과'!$B48:$L48))*1)</f>
        <v>0</v>
      </c>
      <c r="N50" s="56" cm="1">
        <f t="array" ref="N50">SUMPRODUCT(ISNUMBER(FIND("으뜸4강", '2004~2025 시즌 결과'!$B48:$L48))*1)</f>
        <v>0</v>
      </c>
      <c r="O50" s="56" cm="1">
        <f t="array" ref="O50">SUMPRODUCT(ISNUMBER(FIND("으뜸8강", '2004~2025 시즌 결과'!$B48:$L48))*1)</f>
        <v>0</v>
      </c>
      <c r="P50" s="40" cm="1">
        <f t="array" ref="P50">SUMPRODUCT(ISNUMBER(FIND("으뜸16강", '2004~2025 시즌 결과'!$B48:$L48))*1)</f>
        <v>0</v>
      </c>
      <c r="Q50" s="105" t="s">
        <v>128</v>
      </c>
      <c r="R50" s="105"/>
      <c r="S50" s="105"/>
      <c r="T50" s="105" t="s">
        <v>128</v>
      </c>
      <c r="U50" s="105"/>
      <c r="V50" s="105"/>
      <c r="W50" s="56" cm="1">
        <f t="array" ref="W50">SUMPRODUCT(ISNUMBER(FIND("버금4강", '2004~2025 시즌 결과'!$B48:$L48))*1)</f>
        <v>1</v>
      </c>
      <c r="X50" s="57" cm="1">
        <f t="array" ref="X50">SUMPRODUCT(ISNUMBER(FIND("버금8강", '2004~2025 시즌 결과'!$B48:$L48))*1)</f>
        <v>0</v>
      </c>
      <c r="Y50" s="57" cm="1">
        <f t="array" ref="Y50">SUMPRODUCT(ISNUMBER(FIND("버금16강", '2004~2025 시즌 결과'!$B48:$L48))*1)</f>
        <v>3</v>
      </c>
      <c r="Z50" s="40" cm="1">
        <f t="array" ref="Z50">SUM(COUNTIF('2004~2025 시즌 결과'!$B48:$L48, {"*버금23강*","*버금24강*","*버금32강*"}))</f>
        <v>0</v>
      </c>
      <c r="AA50" s="56" cm="1">
        <f t="array" ref="AA50">SUMPRODUCT(ISNUMBER(FIND("으뜸", '2004~2025 시즌 결과'!$B48:$L48))*1)</f>
        <v>0</v>
      </c>
      <c r="AB50" s="44" cm="1">
        <f t="array" ref="AB50">SUMPRODUCT(ISNUMBER(FIND("버금", '2004~2025 시즌 결과'!$B48:$L48))*1)</f>
        <v>4</v>
      </c>
      <c r="AC50" s="108" t="s">
        <v>157</v>
      </c>
      <c r="AD50" s="109"/>
      <c r="AE50" s="109"/>
      <c r="AF50" s="110"/>
      <c r="AG50" s="54"/>
      <c r="AH50" s="54"/>
      <c r="AI50" s="54"/>
      <c r="AJ50" s="32"/>
      <c r="AK50" s="32"/>
      <c r="AL50" s="32"/>
      <c r="AM50" s="32"/>
    </row>
    <row r="51" spans="1:39" ht="16.75" customHeight="1">
      <c r="A51" s="67" t="s">
        <v>53</v>
      </c>
      <c r="B51" s="92" t="s">
        <v>128</v>
      </c>
      <c r="C51" s="92"/>
      <c r="D51" s="92"/>
      <c r="E51" s="92"/>
      <c r="F51" s="92"/>
      <c r="G51" s="92" t="s">
        <v>128</v>
      </c>
      <c r="H51" s="92"/>
      <c r="I51" s="92"/>
      <c r="J51" s="92"/>
      <c r="K51" s="133"/>
      <c r="L51" s="63" cm="1">
        <f t="array" ref="L51">SUMPRODUCT(ISNUMBER(FIND("으뜸우승", '2004~2025 시즌 결과'!$B49:$L49))*1)</f>
        <v>0</v>
      </c>
      <c r="M51" s="63" cm="1">
        <f t="array" ref="M51">SUMPRODUCT(ISNUMBER(FIND("으뜸준우승", '2004~2025 시즌 결과'!$B49:$L49))*1)</f>
        <v>0</v>
      </c>
      <c r="N51" s="63" cm="1">
        <f t="array" ref="N51">SUMPRODUCT(ISNUMBER(FIND("으뜸4강", '2004~2025 시즌 결과'!$B49:$L49))*1)</f>
        <v>0</v>
      </c>
      <c r="O51" s="63" cm="1">
        <f t="array" ref="O51">SUMPRODUCT(ISNUMBER(FIND("으뜸8강", '2004~2025 시즌 결과'!$B49:$L49))*1)</f>
        <v>0</v>
      </c>
      <c r="P51" s="39" cm="1">
        <f t="array" ref="P51">SUMPRODUCT(ISNUMBER(FIND("으뜸16강", '2004~2025 시즌 결과'!$B49:$L49))*1)</f>
        <v>1</v>
      </c>
      <c r="Q51" s="92" t="s">
        <v>128</v>
      </c>
      <c r="R51" s="92"/>
      <c r="S51" s="92"/>
      <c r="T51" s="103" t="s">
        <v>112</v>
      </c>
      <c r="U51" s="103"/>
      <c r="V51" s="103"/>
      <c r="W51" s="63" cm="1">
        <f t="array" ref="W51">SUMPRODUCT(ISNUMBER(FIND("버금4강", '2004~2025 시즌 결과'!$B49:$L49))*1)</f>
        <v>0</v>
      </c>
      <c r="X51" s="64" cm="1">
        <f t="array" ref="X51">SUMPRODUCT(ISNUMBER(FIND("버금8강", '2004~2025 시즌 결과'!$B49:$L49))*1)</f>
        <v>1</v>
      </c>
      <c r="Y51" s="64" cm="1">
        <f t="array" ref="Y51">SUMPRODUCT(ISNUMBER(FIND("버금16강", '2004~2025 시즌 결과'!$B49:$L49))*1)</f>
        <v>2</v>
      </c>
      <c r="Z51" s="39" cm="1">
        <f t="array" ref="Z51">SUM(COUNTIF('2004~2025 시즌 결과'!$B49:$L49, {"*버금23강*","*버금24강*","*버금32강*"}))</f>
        <v>0</v>
      </c>
      <c r="AA51" s="63" cm="1">
        <f t="array" ref="AA51">SUMPRODUCT(ISNUMBER(FIND("으뜸", '2004~2025 시즌 결과'!$B49:$L49))*1)</f>
        <v>1</v>
      </c>
      <c r="AB51" s="43" cm="1">
        <f t="array" ref="AB51">SUMPRODUCT(ISNUMBER(FIND("버금", '2004~2025 시즌 결과'!$B49:$L49))*1)</f>
        <v>4</v>
      </c>
      <c r="AC51" s="107"/>
      <c r="AD51" s="103"/>
      <c r="AE51" s="103"/>
      <c r="AF51" s="104"/>
      <c r="AJ51" s="1"/>
      <c r="AK51" s="1"/>
    </row>
    <row r="52" spans="1:39">
      <c r="A52" s="49" t="s">
        <v>40</v>
      </c>
      <c r="B52" s="101" t="s">
        <v>77</v>
      </c>
      <c r="C52" s="101"/>
      <c r="D52" s="101"/>
      <c r="E52" s="101"/>
      <c r="F52" s="101"/>
      <c r="G52" s="101" t="s">
        <v>93</v>
      </c>
      <c r="H52" s="101"/>
      <c r="I52" s="101"/>
      <c r="J52" s="101"/>
      <c r="K52" s="102"/>
      <c r="L52" s="50" cm="1">
        <f t="array" ref="L52">SUMPRODUCT(ISNUMBER(FIND("으뜸우승", '2004~2025 시즌 결과'!$B50:$L50))*1)</f>
        <v>1</v>
      </c>
      <c r="M52" s="50" cm="1">
        <f t="array" ref="M52">SUMPRODUCT(ISNUMBER(FIND("으뜸준우승", '2004~2025 시즌 결과'!$B50:$L50))*1)</f>
        <v>0</v>
      </c>
      <c r="N52" s="50" cm="1">
        <f t="array" ref="N52">SUMPRODUCT(ISNUMBER(FIND("으뜸4강", '2004~2025 시즌 결과'!$B50:$L50))*1)</f>
        <v>1</v>
      </c>
      <c r="O52" s="50" cm="1">
        <f t="array" ref="O52">SUMPRODUCT(ISNUMBER(FIND("으뜸8강", '2004~2025 시즌 결과'!$B50:$L50))*1)</f>
        <v>2</v>
      </c>
      <c r="P52" s="51" cm="1">
        <f t="array" ref="P52">SUMPRODUCT(ISNUMBER(FIND("으뜸16강", '2004~2025 시즌 결과'!$B50:$L50))*1)</f>
        <v>3</v>
      </c>
      <c r="Q52" s="99" t="s">
        <v>128</v>
      </c>
      <c r="R52" s="99"/>
      <c r="S52" s="99"/>
      <c r="T52" s="99" t="s">
        <v>128</v>
      </c>
      <c r="U52" s="99"/>
      <c r="V52" s="99"/>
      <c r="W52" s="50" cm="1">
        <f t="array" ref="W52">SUMPRODUCT(ISNUMBER(FIND("버금4강", '2004~2025 시즌 결과'!$B50:$L50))*1)</f>
        <v>0</v>
      </c>
      <c r="X52" s="52" cm="1">
        <f t="array" ref="X52">SUMPRODUCT(ISNUMBER(FIND("버금8강", '2004~2025 시즌 결과'!$B50:$L50))*1)</f>
        <v>1</v>
      </c>
      <c r="Y52" s="52" cm="1">
        <f t="array" ref="Y52">SUMPRODUCT(ISNUMBER(FIND("버금16강", '2004~2025 시즌 결과'!$B50:$L50))*1)</f>
        <v>2</v>
      </c>
      <c r="Z52" s="51" cm="1">
        <f t="array" ref="Z52">SUM(COUNTIF('2004~2025 시즌 결과'!$B50:$L50, {"*버금23강*","*버금24강*","*버금32강*"}))</f>
        <v>0</v>
      </c>
      <c r="AA52" s="50" cm="1">
        <f t="array" ref="AA52">SUMPRODUCT(ISNUMBER(FIND("으뜸", '2004~2025 시즌 결과'!$B50:$L50))*1)</f>
        <v>7</v>
      </c>
      <c r="AB52" s="53" cm="1">
        <f t="array" ref="AB52">SUMPRODUCT(ISNUMBER(FIND("버금", '2004~2025 시즌 결과'!$B50:$L50))*1)</f>
        <v>3</v>
      </c>
      <c r="AC52" s="100" t="s">
        <v>145</v>
      </c>
      <c r="AD52" s="101"/>
      <c r="AE52" s="101"/>
      <c r="AF52" s="102"/>
      <c r="AJ52" s="1"/>
      <c r="AK52" s="1"/>
    </row>
    <row r="53" spans="1:39" ht="17.5" customHeight="1"/>
    <row r="57" spans="1:39">
      <c r="Z57"/>
    </row>
    <row r="58" spans="1:39">
      <c r="Z58"/>
    </row>
    <row r="59" spans="1:39">
      <c r="AA59"/>
    </row>
    <row r="60" spans="1:39">
      <c r="Z60"/>
    </row>
  </sheetData>
  <mergeCells count="255">
    <mergeCell ref="T8:V8"/>
    <mergeCell ref="T9:V9"/>
    <mergeCell ref="T10:V10"/>
    <mergeCell ref="T11:V11"/>
    <mergeCell ref="T12:V12"/>
    <mergeCell ref="T13:V13"/>
    <mergeCell ref="T14:V14"/>
    <mergeCell ref="T15:V15"/>
    <mergeCell ref="T28:V28"/>
    <mergeCell ref="T26:V26"/>
    <mergeCell ref="T27:V27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Q48:S48"/>
    <mergeCell ref="Q49:S49"/>
    <mergeCell ref="Q50:S50"/>
    <mergeCell ref="Q51:S51"/>
    <mergeCell ref="Q4:S4"/>
    <mergeCell ref="T3:V3"/>
    <mergeCell ref="T5:V5"/>
    <mergeCell ref="T6:V6"/>
    <mergeCell ref="T7:V7"/>
    <mergeCell ref="Q24:S24"/>
    <mergeCell ref="Q25:S25"/>
    <mergeCell ref="Q26:S26"/>
    <mergeCell ref="Q27:S27"/>
    <mergeCell ref="Q28:S28"/>
    <mergeCell ref="Q29:S29"/>
    <mergeCell ref="Q3:S3"/>
    <mergeCell ref="Q5:S5"/>
    <mergeCell ref="Q6:S6"/>
    <mergeCell ref="T50:V50"/>
    <mergeCell ref="T51:V51"/>
    <mergeCell ref="T40:V40"/>
    <mergeCell ref="T41:V41"/>
    <mergeCell ref="T4:V4"/>
    <mergeCell ref="T39:V39"/>
    <mergeCell ref="Q44:S44"/>
    <mergeCell ref="Q45:S45"/>
    <mergeCell ref="Q46:S46"/>
    <mergeCell ref="Q47:S47"/>
    <mergeCell ref="Q38:S38"/>
    <mergeCell ref="Q39:S39"/>
    <mergeCell ref="Q40:S40"/>
    <mergeCell ref="Q41:S41"/>
    <mergeCell ref="Q32:S32"/>
    <mergeCell ref="Q33:S33"/>
    <mergeCell ref="Q34:S34"/>
    <mergeCell ref="Q35:S35"/>
    <mergeCell ref="T43:V43"/>
    <mergeCell ref="T42:V42"/>
    <mergeCell ref="T29:V29"/>
    <mergeCell ref="T30:V30"/>
    <mergeCell ref="T31:V31"/>
    <mergeCell ref="Q42:S42"/>
    <mergeCell ref="Q43:S43"/>
    <mergeCell ref="Q36:S36"/>
    <mergeCell ref="Q37:S37"/>
    <mergeCell ref="T38:V38"/>
    <mergeCell ref="Q18:S18"/>
    <mergeCell ref="Q19:S19"/>
    <mergeCell ref="Q12:S12"/>
    <mergeCell ref="Q13:S13"/>
    <mergeCell ref="Q30:S30"/>
    <mergeCell ref="Q31:S31"/>
    <mergeCell ref="Q20:S20"/>
    <mergeCell ref="Q21:S21"/>
    <mergeCell ref="Q22:S22"/>
    <mergeCell ref="Q23:S23"/>
    <mergeCell ref="Q14:S14"/>
    <mergeCell ref="Q15:S15"/>
    <mergeCell ref="Q16:S16"/>
    <mergeCell ref="Q17:S17"/>
    <mergeCell ref="Q7:S7"/>
    <mergeCell ref="G50:K50"/>
    <mergeCell ref="G51:K51"/>
    <mergeCell ref="G4:K4"/>
    <mergeCell ref="G10:I10"/>
    <mergeCell ref="G44:K44"/>
    <mergeCell ref="G45:K45"/>
    <mergeCell ref="G46:K46"/>
    <mergeCell ref="G47:K47"/>
    <mergeCell ref="G48:K48"/>
    <mergeCell ref="G49:K49"/>
    <mergeCell ref="G38:K38"/>
    <mergeCell ref="G39:K39"/>
    <mergeCell ref="G40:K40"/>
    <mergeCell ref="G41:K41"/>
    <mergeCell ref="G42:K42"/>
    <mergeCell ref="G43:K43"/>
    <mergeCell ref="G32:K32"/>
    <mergeCell ref="G33:K33"/>
    <mergeCell ref="G34:K34"/>
    <mergeCell ref="Q8:S8"/>
    <mergeCell ref="Q9:S9"/>
    <mergeCell ref="Q10:S10"/>
    <mergeCell ref="Q11:S11"/>
    <mergeCell ref="G35:K35"/>
    <mergeCell ref="G36:K36"/>
    <mergeCell ref="G37:K37"/>
    <mergeCell ref="G25:K25"/>
    <mergeCell ref="G26:K26"/>
    <mergeCell ref="G28:K28"/>
    <mergeCell ref="G29:K29"/>
    <mergeCell ref="G30:K30"/>
    <mergeCell ref="G31:K31"/>
    <mergeCell ref="G22:K22"/>
    <mergeCell ref="G23:K23"/>
    <mergeCell ref="G24:K24"/>
    <mergeCell ref="G13:K13"/>
    <mergeCell ref="G18:K18"/>
    <mergeCell ref="G14:K14"/>
    <mergeCell ref="G15:K15"/>
    <mergeCell ref="G16:K16"/>
    <mergeCell ref="G17:K17"/>
    <mergeCell ref="G8:K8"/>
    <mergeCell ref="G3:K3"/>
    <mergeCell ref="G12:K12"/>
    <mergeCell ref="B25:F25"/>
    <mergeCell ref="B26:F26"/>
    <mergeCell ref="B40:F40"/>
    <mergeCell ref="B4:F4"/>
    <mergeCell ref="B3:F3"/>
    <mergeCell ref="G27:K27"/>
    <mergeCell ref="G5:K5"/>
    <mergeCell ref="G6:K6"/>
    <mergeCell ref="G7:K7"/>
    <mergeCell ref="B11:F11"/>
    <mergeCell ref="B13:F13"/>
    <mergeCell ref="B10:F10"/>
    <mergeCell ref="B12:F12"/>
    <mergeCell ref="B14:F14"/>
    <mergeCell ref="B16:F16"/>
    <mergeCell ref="B15:F15"/>
    <mergeCell ref="B5:F5"/>
    <mergeCell ref="B6:F6"/>
    <mergeCell ref="G19:K19"/>
    <mergeCell ref="G20:K20"/>
    <mergeCell ref="G21:K21"/>
    <mergeCell ref="B7:F7"/>
    <mergeCell ref="B8:F8"/>
    <mergeCell ref="B9:F9"/>
    <mergeCell ref="B31:F31"/>
    <mergeCell ref="B32:F32"/>
    <mergeCell ref="B28:F28"/>
    <mergeCell ref="B30:F30"/>
    <mergeCell ref="B21:F21"/>
    <mergeCell ref="B22:F22"/>
    <mergeCell ref="B23:F23"/>
    <mergeCell ref="B24:F24"/>
    <mergeCell ref="B17:F17"/>
    <mergeCell ref="B18:F18"/>
    <mergeCell ref="B19:F19"/>
    <mergeCell ref="B20:F20"/>
    <mergeCell ref="B27:F27"/>
    <mergeCell ref="B29:F29"/>
    <mergeCell ref="B33:F33"/>
    <mergeCell ref="B34:F34"/>
    <mergeCell ref="B35:F35"/>
    <mergeCell ref="B36:F36"/>
    <mergeCell ref="B37:F37"/>
    <mergeCell ref="B49:F49"/>
    <mergeCell ref="B50:F50"/>
    <mergeCell ref="B51:F51"/>
    <mergeCell ref="B39:F39"/>
    <mergeCell ref="B41:F41"/>
    <mergeCell ref="B42:F42"/>
    <mergeCell ref="B43:F43"/>
    <mergeCell ref="B44:F44"/>
    <mergeCell ref="B45:F45"/>
    <mergeCell ref="B46:F46"/>
    <mergeCell ref="B47:F47"/>
    <mergeCell ref="B48:F48"/>
    <mergeCell ref="B38:F38"/>
    <mergeCell ref="AC18:AF18"/>
    <mergeCell ref="AC19:AF19"/>
    <mergeCell ref="AC20:AF20"/>
    <mergeCell ref="AC22:AF22"/>
    <mergeCell ref="AC23:AF23"/>
    <mergeCell ref="AC24:AF24"/>
    <mergeCell ref="AC25:AF25"/>
    <mergeCell ref="AC26:AF26"/>
    <mergeCell ref="AC15:AF15"/>
    <mergeCell ref="AC16:AF16"/>
    <mergeCell ref="AC17:AF17"/>
    <mergeCell ref="AC21:AF21"/>
    <mergeCell ref="AC41:AF41"/>
    <mergeCell ref="AC42:AF42"/>
    <mergeCell ref="AC43:AF43"/>
    <mergeCell ref="AC44:AF44"/>
    <mergeCell ref="AC27:AF27"/>
    <mergeCell ref="AC28:AF28"/>
    <mergeCell ref="AC29:AF29"/>
    <mergeCell ref="AC30:AF30"/>
    <mergeCell ref="AC31:AF31"/>
    <mergeCell ref="AC32:AF32"/>
    <mergeCell ref="AC33:AF33"/>
    <mergeCell ref="AC34:AF34"/>
    <mergeCell ref="AC35:AF35"/>
    <mergeCell ref="A1:AF1"/>
    <mergeCell ref="A2:AF2"/>
    <mergeCell ref="AC45:AF45"/>
    <mergeCell ref="AC46:AF46"/>
    <mergeCell ref="AC47:AF47"/>
    <mergeCell ref="AC48:AF48"/>
    <mergeCell ref="AC49:AF49"/>
    <mergeCell ref="AC4:AF4"/>
    <mergeCell ref="AC3:AF3"/>
    <mergeCell ref="AC5:AF5"/>
    <mergeCell ref="AC6:AF6"/>
    <mergeCell ref="AC7:AF7"/>
    <mergeCell ref="AC8:AF8"/>
    <mergeCell ref="AC9:AF9"/>
    <mergeCell ref="AC10:AF10"/>
    <mergeCell ref="AC11:AF11"/>
    <mergeCell ref="AC12:AF12"/>
    <mergeCell ref="AC13:AF13"/>
    <mergeCell ref="AC14:AF14"/>
    <mergeCell ref="AC36:AF36"/>
    <mergeCell ref="AC37:AF37"/>
    <mergeCell ref="AC38:AF38"/>
    <mergeCell ref="AC39:AF39"/>
    <mergeCell ref="AC40:AF40"/>
    <mergeCell ref="AG11:AM16"/>
    <mergeCell ref="AG4:AM10"/>
    <mergeCell ref="Q52:S52"/>
    <mergeCell ref="T52:V52"/>
    <mergeCell ref="AC52:AF52"/>
    <mergeCell ref="B52:F52"/>
    <mergeCell ref="G9:K9"/>
    <mergeCell ref="G11:I11"/>
    <mergeCell ref="J10:K11"/>
    <mergeCell ref="G52:K52"/>
    <mergeCell ref="T49:V49"/>
    <mergeCell ref="T48:V48"/>
    <mergeCell ref="T47:V47"/>
    <mergeCell ref="T46:V46"/>
    <mergeCell ref="T45:V45"/>
    <mergeCell ref="T44:V44"/>
    <mergeCell ref="T32:V32"/>
    <mergeCell ref="T33:V33"/>
    <mergeCell ref="T34:V34"/>
    <mergeCell ref="T35:V35"/>
    <mergeCell ref="T36:V36"/>
    <mergeCell ref="T37:V37"/>
    <mergeCell ref="AC51:AF51"/>
    <mergeCell ref="AC50:AF5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2004~2025 시즌 결과</vt:lpstr>
      <vt:lpstr>역대 성적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김명서</dc:creator>
  <cp:lastModifiedBy>이주환</cp:lastModifiedBy>
  <dcterms:created xsi:type="dcterms:W3CDTF">2026-01-15T15:54:49Z</dcterms:created>
  <dcterms:modified xsi:type="dcterms:W3CDTF">2026-02-15T10:15:07Z</dcterms:modified>
</cp:coreProperties>
</file>